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J:\02-Helper-Columns\"/>
    </mc:Choice>
  </mc:AlternateContent>
  <xr:revisionPtr revIDLastSave="0" documentId="13_ncr:1_{27A9A3AD-B753-48D0-A47B-794B7533DD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Sales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</calcChain>
</file>

<file path=xl/sharedStrings.xml><?xml version="1.0" encoding="utf-8"?>
<sst xmlns="http://schemas.openxmlformats.org/spreadsheetml/2006/main" count="746" uniqueCount="44">
  <si>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</si>
  <si>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</si>
  <si>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</si>
  <si>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</si>
  <si>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</si>
  <si>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</si>
  <si>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</si>
  <si>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</si>
  <si>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</si>
  <si>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</si>
  <si>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</si>
  <si>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</si>
  <si>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</si>
  <si>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</si>
  <si>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</si>
  <si>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</si>
  <si>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</si>
  <si>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</si>
  <si>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</si>
  <si>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</si>
  <si>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</si>
  <si>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</si>
  <si>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</si>
  <si>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</si>
  <si>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</si>
  <si>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</si>
  <si>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</si>
  <si>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</si>
  <si>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</si>
  <si>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</si>
  <si>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</si>
  <si>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</si>
  <si>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</si>
  <si>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</si>
  <si>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</si>
  <si>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</si>
  <si>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Revenue</t>
  </si>
  <si>
    <t>Profit</t>
  </si>
  <si>
    <t>Month</t>
  </si>
  <si>
    <t>Quarter</t>
  </si>
  <si>
    <t>Flag</t>
  </si>
  <si>
    <t>Total Revenue</t>
  </si>
  <si>
    <t>Count of Orders</t>
  </si>
  <si>
    <t>TOP SELLING 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</si>
</sst>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6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al"/>
      <family val="2"/>
    </font>
    <font>
      <sz val="9.5"/>
      <color rgb="FF0D5B2E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2F4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/>
    </xf>
    <xf numFmtId="0" fontId="4" fillId="0" borderId="0" xfId="0" applyFont="1"/>
    <xf numFmtId="0" fontId="4" fillId="7" borderId="10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/>
    </xf>
    <xf numFmtId="0" fontId="0" fillId="0" borderId="11" xfId="0" applyBorder="1"/>
    <xf numFmtId="166" fontId="0" fillId="0" borderId="11" xfId="0" applyNumberFormat="1" applyBorder="1"/>
    <xf numFmtId="0" fontId="0" fillId="8" borderId="11" xfId="0" applyFill="1" applyBorder="1"/>
    <xf numFmtId="0" fontId="0" fillId="8" borderId="0" xfId="0" applyFill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23680-2377-40B4-80C2-63F0498D5465}" name="Table1" displayName="Table1" ref="A1:M181" totalsRowShown="0" headerRowDxfId="16" headerRowBorderDxfId="15" tableBorderDxfId="14" totalsRowBorderDxfId="13">
  <autoFilter ref="A1:M181" xr:uid="{2F823680-2377-40B4-80C2-63F0498D5465}"/>
  <tableColumns count="13">
    <tableColumn id="1" xr3:uid="{A7E1EF49-491B-4B86-96B1-A3D36D142E9F}" name="Order ID" dataDxfId="12"/>
    <tableColumn id="2" xr3:uid="{3A0ECF09-2FE1-4511-BDF4-E4FF8D2202A5}" name="Order Date" dataDxfId="11"/>
    <tableColumn id="3" xr3:uid="{903DA4B2-DAD9-47E1-A4DC-345BC875C1D2}" name="Sales Rep" dataDxfId="10"/>
    <tableColumn id="4" xr3:uid="{EFF3A7E8-89E0-4A13-AEF1-21A75F384F69}" name="Region" dataDxfId="9"/>
    <tableColumn id="5" xr3:uid="{9323A4B7-42B9-4A5E-B504-7BC9333F8F7A}" name="Product Category" dataDxfId="8"/>
    <tableColumn id="6" xr3:uid="{C9E5DDF0-1148-40E2-A0DA-8846430B8D61}" name="Product Name" dataDxfId="7"/>
    <tableColumn id="7" xr3:uid="{B511EFB4-E6FD-4E2B-A510-4A377AE5B110}" name="Qty Sold" dataDxfId="6"/>
    <tableColumn id="8" xr3:uid="{40C9C9C9-9E05-4941-8E85-493C77F7A478}" name="Unit Price (₹)" dataDxfId="5"/>
    <tableColumn id="9" xr3:uid="{6896EAA0-EE22-4104-A912-93141151F907}" name="Revenue" dataDxfId="4">
      <calculatedColumnFormula>G2*H2</calculatedColumnFormula>
    </tableColumn>
    <tableColumn id="10" xr3:uid="{D0B1C3AF-8FA1-462A-8739-14A76EB6D2D1}" name="Profit" dataDxfId="3">
      <calculatedColumnFormula>I2*20%</calculatedColumnFormula>
    </tableColumn>
    <tableColumn id="11" xr3:uid="{42B3DFB2-C69E-4665-A8E7-D990C50A1B63}" name="Month" dataDxfId="2">
      <calculatedColumnFormula>TEXT(B2,"MMM")</calculatedColumnFormula>
    </tableColumn>
    <tableColumn id="12" xr3:uid="{F93E27E0-44B7-437D-AE91-B1A39F7E4AC0}" name="Quarter" dataDxfId="1">
      <calculatedColumnFormula>IF(MONTH(B2)&lt;=3,"Q1",IF(MONTH(B2)&lt;=6,"Q2",IF(MONTH(B2)&lt;=9,"Q3","Q4")))</calculatedColumnFormula>
    </tableColumn>
    <tableColumn id="13" xr3:uid="{6214B94E-B688-405D-AAA5-9A2F179FD1F4}" name="Flag" dataDxfId="0">
      <calculatedColumnFormula>IF(I2&gt;10000,"High Value","Normal")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opLeftCell="D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1" customWidth="1"/>
    <col min="2" max="2" width="16" style="9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</cols>
  <sheetData>
    <row r="1" spans="1:13" ht="22.05" customHeight="1" thickBot="1" x14ac:dyDescent="0.3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24" t="s">
        <v>36</v>
      </c>
      <c r="J1" s="26" t="s">
        <v>37</v>
      </c>
      <c r="K1" s="26" t="s">
        <v>38</v>
      </c>
      <c r="L1" s="26" t="s">
        <v>39</v>
      </c>
      <c r="M1" s="26" t="s">
        <v>40</v>
      </c>
    </row>
    <row r="2" spans="1:13" ht="15" thickBot="1" x14ac:dyDescent="0.35">
      <c r="A2" s="10">
        <v>1001</v>
      </c>
      <c r="B2" s="7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2">
        <v>2500</v>
      </c>
      <c r="I2" s="25">
        <f t="shared" ref="I2:I33" si="0">G2*H2</f>
        <v>7500</v>
      </c>
      <c r="J2" s="27">
        <f t="shared" ref="J2:J33" si="1">I2*20%</f>
        <v>1500</v>
      </c>
      <c r="K2" s="25" t="str">
        <f t="shared" ref="K2:K33" si="2">TEXT(B2,"MMM")</f>
        <v>Aug</v>
      </c>
      <c r="L2" s="28" t="str">
        <f t="shared" ref="L2:L33" si="3">IF(MONTH(B2)&lt;=3,"Q1",IF(MONTH(B2)&lt;=6,"Q2",IF(MONTH(B2)&lt;=9,"Q3","Q4")))</f>
        <v>Q3</v>
      </c>
      <c r="M2" s="27" t="str">
        <f t="shared" ref="M2:M33" si="4">IF(I2&gt;10000,"High Value","Normal")</f>
        <v>Normal</v>
      </c>
    </row>
    <row r="3" spans="1:13" x14ac:dyDescent="0.3">
      <c r="A3" s="11">
        <v>1002</v>
      </c>
      <c r="B3" s="8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3">
        <v>2800</v>
      </c>
      <c r="I3">
        <f t="shared" si="0"/>
        <v>2800</v>
      </c>
      <c r="J3">
        <f t="shared" si="1"/>
        <v>560</v>
      </c>
      <c r="K3" t="str">
        <f t="shared" si="2"/>
        <v>Feb</v>
      </c>
      <c r="L3" t="str">
        <f t="shared" si="3"/>
        <v>Q1</v>
      </c>
      <c r="M3" t="str">
        <f t="shared" si="4"/>
        <v>Normal</v>
      </c>
    </row>
    <row r="4" spans="1:13" x14ac:dyDescent="0.3">
      <c r="A4" s="10">
        <v>1003</v>
      </c>
      <c r="B4" s="7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2">
        <v>650</v>
      </c>
      <c r="I4">
        <f t="shared" si="0"/>
        <v>7150</v>
      </c>
      <c r="J4">
        <f t="shared" si="1"/>
        <v>1430</v>
      </c>
      <c r="K4" t="str">
        <f t="shared" si="2"/>
        <v>Dec</v>
      </c>
      <c r="L4" t="str">
        <f t="shared" si="3"/>
        <v>Q4</v>
      </c>
      <c r="M4" t="str">
        <f t="shared" si="4"/>
        <v>Normal</v>
      </c>
    </row>
    <row r="5" spans="1:13" x14ac:dyDescent="0.3">
      <c r="A5" s="11">
        <v>1004</v>
      </c>
      <c r="B5" s="8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3">
        <v>7500</v>
      </c>
      <c r="I5">
        <f t="shared" si="0"/>
        <v>52500</v>
      </c>
      <c r="J5">
        <f t="shared" si="1"/>
        <v>10500</v>
      </c>
      <c r="K5" t="str">
        <f t="shared" si="2"/>
        <v>Oct</v>
      </c>
      <c r="L5" t="str">
        <f t="shared" si="3"/>
        <v>Q4</v>
      </c>
      <c r="M5" t="str">
        <f t="shared" si="4"/>
        <v>High Value</v>
      </c>
    </row>
    <row r="6" spans="1:13" x14ac:dyDescent="0.3">
      <c r="A6" s="10">
        <v>1005</v>
      </c>
      <c r="B6" s="7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2">
        <v>1200</v>
      </c>
      <c r="I6">
        <f t="shared" si="0"/>
        <v>12000</v>
      </c>
      <c r="J6">
        <f t="shared" si="1"/>
        <v>2400</v>
      </c>
      <c r="K6" t="str">
        <f t="shared" si="2"/>
        <v>Jul</v>
      </c>
      <c r="L6" t="str">
        <f t="shared" si="3"/>
        <v>Q3</v>
      </c>
      <c r="M6" t="str">
        <f t="shared" si="4"/>
        <v>High Value</v>
      </c>
    </row>
    <row r="7" spans="1:13" x14ac:dyDescent="0.3">
      <c r="A7" s="11">
        <v>1006</v>
      </c>
      <c r="B7" s="8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3">
        <v>1200</v>
      </c>
      <c r="I7">
        <f t="shared" si="0"/>
        <v>16800</v>
      </c>
      <c r="J7">
        <f t="shared" si="1"/>
        <v>3360</v>
      </c>
      <c r="K7" t="str">
        <f t="shared" si="2"/>
        <v>May</v>
      </c>
      <c r="L7" t="str">
        <f t="shared" si="3"/>
        <v>Q2</v>
      </c>
      <c r="M7" t="str">
        <f t="shared" si="4"/>
        <v>High Value</v>
      </c>
    </row>
    <row r="8" spans="1:13" x14ac:dyDescent="0.3">
      <c r="A8" s="10">
        <v>1007</v>
      </c>
      <c r="B8" s="7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2">
        <v>2200</v>
      </c>
      <c r="I8">
        <f t="shared" si="0"/>
        <v>28600</v>
      </c>
      <c r="J8">
        <f t="shared" si="1"/>
        <v>5720</v>
      </c>
      <c r="K8" t="str">
        <f t="shared" si="2"/>
        <v>Dec</v>
      </c>
      <c r="L8" t="str">
        <f t="shared" si="3"/>
        <v>Q4</v>
      </c>
      <c r="M8" t="str">
        <f t="shared" si="4"/>
        <v>High Value</v>
      </c>
    </row>
    <row r="9" spans="1:13" x14ac:dyDescent="0.3">
      <c r="A9" s="11">
        <v>1008</v>
      </c>
      <c r="B9" s="8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3">
        <v>1100</v>
      </c>
      <c r="I9">
        <f t="shared" si="0"/>
        <v>2200</v>
      </c>
      <c r="J9">
        <f t="shared" si="1"/>
        <v>440</v>
      </c>
      <c r="K9" t="str">
        <f t="shared" si="2"/>
        <v>Apr</v>
      </c>
      <c r="L9" t="str">
        <f t="shared" si="3"/>
        <v>Q2</v>
      </c>
      <c r="M9" t="str">
        <f t="shared" si="4"/>
        <v>Normal</v>
      </c>
    </row>
    <row r="10" spans="1:13" x14ac:dyDescent="0.3">
      <c r="A10" s="10">
        <v>1009</v>
      </c>
      <c r="B10" s="7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2">
        <v>3200</v>
      </c>
      <c r="I10">
        <f t="shared" si="0"/>
        <v>3200</v>
      </c>
      <c r="J10">
        <f t="shared" si="1"/>
        <v>640</v>
      </c>
      <c r="K10" t="str">
        <f t="shared" si="2"/>
        <v>Jul</v>
      </c>
      <c r="L10" t="str">
        <f t="shared" si="3"/>
        <v>Q3</v>
      </c>
      <c r="M10" t="str">
        <f t="shared" si="4"/>
        <v>Normal</v>
      </c>
    </row>
    <row r="11" spans="1:13" x14ac:dyDescent="0.3">
      <c r="A11" s="11">
        <v>1010</v>
      </c>
      <c r="B11" s="8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3">
        <v>650</v>
      </c>
      <c r="I11">
        <f t="shared" si="0"/>
        <v>9100</v>
      </c>
      <c r="J11">
        <f t="shared" si="1"/>
        <v>1820</v>
      </c>
      <c r="K11" t="str">
        <f t="shared" si="2"/>
        <v>Jul</v>
      </c>
      <c r="L11" t="str">
        <f t="shared" si="3"/>
        <v>Q3</v>
      </c>
      <c r="M11" t="str">
        <f t="shared" si="4"/>
        <v>Normal</v>
      </c>
    </row>
    <row r="12" spans="1:13" x14ac:dyDescent="0.3">
      <c r="A12" s="10">
        <v>1011</v>
      </c>
      <c r="B12" s="7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2">
        <v>3200</v>
      </c>
      <c r="I12">
        <f t="shared" si="0"/>
        <v>3200</v>
      </c>
      <c r="J12">
        <f t="shared" si="1"/>
        <v>640</v>
      </c>
      <c r="K12" t="str">
        <f t="shared" si="2"/>
        <v>Feb</v>
      </c>
      <c r="L12" t="str">
        <f t="shared" si="3"/>
        <v>Q1</v>
      </c>
      <c r="M12" t="str">
        <f t="shared" si="4"/>
        <v>Normal</v>
      </c>
    </row>
    <row r="13" spans="1:13" x14ac:dyDescent="0.3">
      <c r="A13" s="11">
        <v>1012</v>
      </c>
      <c r="B13" s="8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3">
        <v>3200</v>
      </c>
      <c r="I13">
        <f t="shared" si="0"/>
        <v>6400</v>
      </c>
      <c r="J13">
        <f t="shared" si="1"/>
        <v>1280</v>
      </c>
      <c r="K13" t="str">
        <f t="shared" si="2"/>
        <v>Jun</v>
      </c>
      <c r="L13" t="str">
        <f t="shared" si="3"/>
        <v>Q2</v>
      </c>
      <c r="M13" t="str">
        <f t="shared" si="4"/>
        <v>Normal</v>
      </c>
    </row>
    <row r="14" spans="1:13" x14ac:dyDescent="0.3">
      <c r="A14" s="10">
        <v>1013</v>
      </c>
      <c r="B14" s="7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2">
        <v>1200</v>
      </c>
      <c r="I14">
        <f t="shared" si="0"/>
        <v>16800</v>
      </c>
      <c r="J14">
        <f t="shared" si="1"/>
        <v>3360</v>
      </c>
      <c r="K14" t="str">
        <f t="shared" si="2"/>
        <v>Mar</v>
      </c>
      <c r="L14" t="str">
        <f t="shared" si="3"/>
        <v>Q1</v>
      </c>
      <c r="M14" t="str">
        <f t="shared" si="4"/>
        <v>High Value</v>
      </c>
    </row>
    <row r="15" spans="1:13" x14ac:dyDescent="0.3">
      <c r="A15" s="11">
        <v>1014</v>
      </c>
      <c r="B15" s="8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3">
        <v>3200</v>
      </c>
      <c r="I15">
        <f t="shared" si="0"/>
        <v>48000</v>
      </c>
      <c r="J15">
        <f t="shared" si="1"/>
        <v>9600</v>
      </c>
      <c r="K15" t="str">
        <f t="shared" si="2"/>
        <v>Jun</v>
      </c>
      <c r="L15" t="str">
        <f t="shared" si="3"/>
        <v>Q2</v>
      </c>
      <c r="M15" t="str">
        <f t="shared" si="4"/>
        <v>High Value</v>
      </c>
    </row>
    <row r="16" spans="1:13" x14ac:dyDescent="0.3">
      <c r="A16" s="10">
        <v>1015</v>
      </c>
      <c r="B16" s="7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2">
        <v>3200</v>
      </c>
      <c r="I16">
        <f t="shared" si="0"/>
        <v>32000</v>
      </c>
      <c r="J16">
        <f t="shared" si="1"/>
        <v>6400</v>
      </c>
      <c r="K16" t="str">
        <f t="shared" si="2"/>
        <v>May</v>
      </c>
      <c r="L16" t="str">
        <f t="shared" si="3"/>
        <v>Q2</v>
      </c>
      <c r="M16" t="str">
        <f t="shared" si="4"/>
        <v>High Value</v>
      </c>
    </row>
    <row r="17" spans="1:13" x14ac:dyDescent="0.3">
      <c r="A17" s="11">
        <v>1016</v>
      </c>
      <c r="B17" s="8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3">
        <v>3200</v>
      </c>
      <c r="I17">
        <f t="shared" si="0"/>
        <v>16000</v>
      </c>
      <c r="J17">
        <f t="shared" si="1"/>
        <v>3200</v>
      </c>
      <c r="K17" t="str">
        <f t="shared" si="2"/>
        <v>Jun</v>
      </c>
      <c r="L17" t="str">
        <f t="shared" si="3"/>
        <v>Q2</v>
      </c>
      <c r="M17" t="str">
        <f t="shared" si="4"/>
        <v>High Value</v>
      </c>
    </row>
    <row r="18" spans="1:13" x14ac:dyDescent="0.3">
      <c r="A18" s="10">
        <v>1017</v>
      </c>
      <c r="B18" s="7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2">
        <v>850</v>
      </c>
      <c r="I18">
        <f t="shared" si="0"/>
        <v>6800</v>
      </c>
      <c r="J18">
        <f t="shared" si="1"/>
        <v>1360</v>
      </c>
      <c r="K18" t="str">
        <f t="shared" si="2"/>
        <v>Apr</v>
      </c>
      <c r="L18" t="str">
        <f t="shared" si="3"/>
        <v>Q2</v>
      </c>
      <c r="M18" t="str">
        <f t="shared" si="4"/>
        <v>Normal</v>
      </c>
    </row>
    <row r="19" spans="1:13" x14ac:dyDescent="0.3">
      <c r="A19" s="11">
        <v>1018</v>
      </c>
      <c r="B19" s="8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3">
        <v>850</v>
      </c>
      <c r="I19">
        <f t="shared" si="0"/>
        <v>4250</v>
      </c>
      <c r="J19">
        <f t="shared" si="1"/>
        <v>850</v>
      </c>
      <c r="K19" t="str">
        <f t="shared" si="2"/>
        <v>Aug</v>
      </c>
      <c r="L19" t="str">
        <f t="shared" si="3"/>
        <v>Q3</v>
      </c>
      <c r="M19" t="str">
        <f t="shared" si="4"/>
        <v>Normal</v>
      </c>
    </row>
    <row r="20" spans="1:13" x14ac:dyDescent="0.3">
      <c r="A20" s="10">
        <v>1019</v>
      </c>
      <c r="B20" s="7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2">
        <v>950</v>
      </c>
      <c r="I20">
        <f t="shared" si="0"/>
        <v>2850</v>
      </c>
      <c r="J20">
        <f t="shared" si="1"/>
        <v>570</v>
      </c>
      <c r="K20" t="str">
        <f t="shared" si="2"/>
        <v>May</v>
      </c>
      <c r="L20" t="str">
        <f t="shared" si="3"/>
        <v>Q2</v>
      </c>
      <c r="M20" t="str">
        <f t="shared" si="4"/>
        <v>Normal</v>
      </c>
    </row>
    <row r="21" spans="1:13" x14ac:dyDescent="0.3">
      <c r="A21" s="11">
        <v>1020</v>
      </c>
      <c r="B21" s="8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3">
        <v>7500</v>
      </c>
      <c r="I21">
        <f t="shared" si="0"/>
        <v>30000</v>
      </c>
      <c r="J21">
        <f t="shared" si="1"/>
        <v>6000</v>
      </c>
      <c r="K21" t="str">
        <f t="shared" si="2"/>
        <v>May</v>
      </c>
      <c r="L21" t="str">
        <f t="shared" si="3"/>
        <v>Q2</v>
      </c>
      <c r="M21" t="str">
        <f t="shared" si="4"/>
        <v>High Value</v>
      </c>
    </row>
    <row r="22" spans="1:13" x14ac:dyDescent="0.3">
      <c r="A22" s="10">
        <v>1021</v>
      </c>
      <c r="B22" s="7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2">
        <v>2500</v>
      </c>
      <c r="I22">
        <f t="shared" si="0"/>
        <v>30000</v>
      </c>
      <c r="J22">
        <f t="shared" si="1"/>
        <v>6000</v>
      </c>
      <c r="K22" t="str">
        <f t="shared" si="2"/>
        <v>Aug</v>
      </c>
      <c r="L22" t="str">
        <f t="shared" si="3"/>
        <v>Q3</v>
      </c>
      <c r="M22" t="str">
        <f t="shared" si="4"/>
        <v>High Value</v>
      </c>
    </row>
    <row r="23" spans="1:13" x14ac:dyDescent="0.3">
      <c r="A23" s="11">
        <v>1022</v>
      </c>
      <c r="B23" s="8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3">
        <v>1200</v>
      </c>
      <c r="I23">
        <f t="shared" si="0"/>
        <v>15600</v>
      </c>
      <c r="J23">
        <f t="shared" si="1"/>
        <v>3120</v>
      </c>
      <c r="K23" t="str">
        <f t="shared" si="2"/>
        <v>Jul</v>
      </c>
      <c r="L23" t="str">
        <f t="shared" si="3"/>
        <v>Q3</v>
      </c>
      <c r="M23" t="str">
        <f t="shared" si="4"/>
        <v>High Value</v>
      </c>
    </row>
    <row r="24" spans="1:13" x14ac:dyDescent="0.3">
      <c r="A24" s="10">
        <v>1023</v>
      </c>
      <c r="B24" s="7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2">
        <v>3200</v>
      </c>
      <c r="I24">
        <f t="shared" si="0"/>
        <v>6400</v>
      </c>
      <c r="J24">
        <f t="shared" si="1"/>
        <v>1280</v>
      </c>
      <c r="K24" t="str">
        <f t="shared" si="2"/>
        <v>Feb</v>
      </c>
      <c r="L24" t="str">
        <f t="shared" si="3"/>
        <v>Q1</v>
      </c>
      <c r="M24" t="str">
        <f t="shared" si="4"/>
        <v>Normal</v>
      </c>
    </row>
    <row r="25" spans="1:13" x14ac:dyDescent="0.3">
      <c r="A25" s="11">
        <v>1024</v>
      </c>
      <c r="B25" s="8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3">
        <v>8500</v>
      </c>
      <c r="I25">
        <f t="shared" si="0"/>
        <v>8500</v>
      </c>
      <c r="J25">
        <f t="shared" si="1"/>
        <v>1700</v>
      </c>
      <c r="K25" t="str">
        <f t="shared" si="2"/>
        <v>May</v>
      </c>
      <c r="L25" t="str">
        <f t="shared" si="3"/>
        <v>Q2</v>
      </c>
      <c r="M25" t="str">
        <f t="shared" si="4"/>
        <v>Normal</v>
      </c>
    </row>
    <row r="26" spans="1:13" x14ac:dyDescent="0.3">
      <c r="A26" s="10">
        <v>1025</v>
      </c>
      <c r="B26" s="7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2">
        <v>2800</v>
      </c>
      <c r="I26">
        <f t="shared" si="0"/>
        <v>14000</v>
      </c>
      <c r="J26">
        <f t="shared" si="1"/>
        <v>2800</v>
      </c>
      <c r="K26" t="str">
        <f t="shared" si="2"/>
        <v>Dec</v>
      </c>
      <c r="L26" t="str">
        <f t="shared" si="3"/>
        <v>Q4</v>
      </c>
      <c r="M26" t="str">
        <f t="shared" si="4"/>
        <v>High Value</v>
      </c>
    </row>
    <row r="27" spans="1:13" x14ac:dyDescent="0.3">
      <c r="A27" s="11">
        <v>1026</v>
      </c>
      <c r="B27" s="8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3">
        <v>1800</v>
      </c>
      <c r="I27">
        <f t="shared" si="0"/>
        <v>1800</v>
      </c>
      <c r="J27">
        <f t="shared" si="1"/>
        <v>360</v>
      </c>
      <c r="K27" t="str">
        <f t="shared" si="2"/>
        <v>Apr</v>
      </c>
      <c r="L27" t="str">
        <f t="shared" si="3"/>
        <v>Q2</v>
      </c>
      <c r="M27" t="str">
        <f t="shared" si="4"/>
        <v>Normal</v>
      </c>
    </row>
    <row r="28" spans="1:13" x14ac:dyDescent="0.3">
      <c r="A28" s="10">
        <v>1027</v>
      </c>
      <c r="B28" s="7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2">
        <v>2800</v>
      </c>
      <c r="I28">
        <f t="shared" si="0"/>
        <v>30800</v>
      </c>
      <c r="J28">
        <f t="shared" si="1"/>
        <v>6160</v>
      </c>
      <c r="K28" t="str">
        <f t="shared" si="2"/>
        <v>Mar</v>
      </c>
      <c r="L28" t="str">
        <f t="shared" si="3"/>
        <v>Q1</v>
      </c>
      <c r="M28" t="str">
        <f t="shared" si="4"/>
        <v>High Value</v>
      </c>
    </row>
    <row r="29" spans="1:13" x14ac:dyDescent="0.3">
      <c r="A29" s="11">
        <v>1028</v>
      </c>
      <c r="B29" s="8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3">
        <v>1800</v>
      </c>
      <c r="I29">
        <f t="shared" si="0"/>
        <v>9000</v>
      </c>
      <c r="J29">
        <f t="shared" si="1"/>
        <v>1800</v>
      </c>
      <c r="K29" t="str">
        <f t="shared" si="2"/>
        <v>Apr</v>
      </c>
      <c r="L29" t="str">
        <f t="shared" si="3"/>
        <v>Q2</v>
      </c>
      <c r="M29" t="str">
        <f t="shared" si="4"/>
        <v>Normal</v>
      </c>
    </row>
    <row r="30" spans="1:13" x14ac:dyDescent="0.3">
      <c r="A30" s="10">
        <v>1029</v>
      </c>
      <c r="B30" s="7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2">
        <v>2200</v>
      </c>
      <c r="I30">
        <f t="shared" si="0"/>
        <v>28600</v>
      </c>
      <c r="J30">
        <f t="shared" si="1"/>
        <v>5720</v>
      </c>
      <c r="K30" t="str">
        <f t="shared" si="2"/>
        <v>Dec</v>
      </c>
      <c r="L30" t="str">
        <f t="shared" si="3"/>
        <v>Q4</v>
      </c>
      <c r="M30" t="str">
        <f t="shared" si="4"/>
        <v>High Value</v>
      </c>
    </row>
    <row r="31" spans="1:13" x14ac:dyDescent="0.3">
      <c r="A31" s="11">
        <v>1030</v>
      </c>
      <c r="B31" s="8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3">
        <v>1800</v>
      </c>
      <c r="I31">
        <f t="shared" si="0"/>
        <v>5400</v>
      </c>
      <c r="J31">
        <f t="shared" si="1"/>
        <v>1080</v>
      </c>
      <c r="K31" t="str">
        <f t="shared" si="2"/>
        <v>Jun</v>
      </c>
      <c r="L31" t="str">
        <f t="shared" si="3"/>
        <v>Q2</v>
      </c>
      <c r="M31" t="str">
        <f t="shared" si="4"/>
        <v>Normal</v>
      </c>
    </row>
    <row r="32" spans="1:13" x14ac:dyDescent="0.3">
      <c r="A32" s="11">
        <v>1031</v>
      </c>
      <c r="B32" s="8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3">
        <v>2800</v>
      </c>
      <c r="I32">
        <f t="shared" si="0"/>
        <v>19600</v>
      </c>
      <c r="J32">
        <f t="shared" si="1"/>
        <v>3920</v>
      </c>
      <c r="K32" t="str">
        <f t="shared" si="2"/>
        <v>Sep</v>
      </c>
      <c r="L32" t="str">
        <f t="shared" si="3"/>
        <v>Q3</v>
      </c>
      <c r="M32" t="str">
        <f t="shared" si="4"/>
        <v>High Value</v>
      </c>
    </row>
    <row r="33" spans="1:13" x14ac:dyDescent="0.3">
      <c r="A33" s="10">
        <v>1032</v>
      </c>
      <c r="B33" s="7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2">
        <v>7500</v>
      </c>
      <c r="I33">
        <f t="shared" si="0"/>
        <v>7500</v>
      </c>
      <c r="J33">
        <f t="shared" si="1"/>
        <v>1500</v>
      </c>
      <c r="K33" t="str">
        <f t="shared" si="2"/>
        <v>May</v>
      </c>
      <c r="L33" t="str">
        <f t="shared" si="3"/>
        <v>Q2</v>
      </c>
      <c r="M33" t="str">
        <f t="shared" si="4"/>
        <v>Normal</v>
      </c>
    </row>
    <row r="34" spans="1:13" x14ac:dyDescent="0.3">
      <c r="A34" s="11">
        <v>1033</v>
      </c>
      <c r="B34" s="8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3">
        <v>2500</v>
      </c>
      <c r="I34">
        <f t="shared" ref="I34:I65" si="5">G34*H34</f>
        <v>20000</v>
      </c>
      <c r="J34">
        <f t="shared" ref="J34:J65" si="6">I34*20%</f>
        <v>4000</v>
      </c>
      <c r="K34" t="str">
        <f t="shared" ref="K34:K65" si="7">TEXT(B34,"MMM")</f>
        <v>Jul</v>
      </c>
      <c r="L34" t="str">
        <f t="shared" ref="L34:L65" si="8">IF(MONTH(B34)&lt;=3,"Q1",IF(MONTH(B34)&lt;=6,"Q2",IF(MONTH(B34)&lt;=9,"Q3","Q4")))</f>
        <v>Q3</v>
      </c>
      <c r="M34" t="str">
        <f t="shared" ref="M34:M65" si="9">IF(I34&gt;10000,"High Value","Normal")</f>
        <v>High Value</v>
      </c>
    </row>
    <row r="35" spans="1:13" x14ac:dyDescent="0.3">
      <c r="A35" s="10">
        <v>1034</v>
      </c>
      <c r="B35" s="7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2">
        <v>1500</v>
      </c>
      <c r="I35">
        <f t="shared" si="5"/>
        <v>15000</v>
      </c>
      <c r="J35">
        <f t="shared" si="6"/>
        <v>3000</v>
      </c>
      <c r="K35" t="str">
        <f t="shared" si="7"/>
        <v>Jul</v>
      </c>
      <c r="L35" t="str">
        <f t="shared" si="8"/>
        <v>Q3</v>
      </c>
      <c r="M35" t="str">
        <f t="shared" si="9"/>
        <v>High Value</v>
      </c>
    </row>
    <row r="36" spans="1:13" x14ac:dyDescent="0.3">
      <c r="A36" s="11">
        <v>1035</v>
      </c>
      <c r="B36" s="8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3">
        <v>1200</v>
      </c>
      <c r="I36">
        <f t="shared" si="5"/>
        <v>9600</v>
      </c>
      <c r="J36">
        <f t="shared" si="6"/>
        <v>1920</v>
      </c>
      <c r="K36" t="str">
        <f t="shared" si="7"/>
        <v>Nov</v>
      </c>
      <c r="L36" t="str">
        <f t="shared" si="8"/>
        <v>Q4</v>
      </c>
      <c r="M36" t="str">
        <f t="shared" si="9"/>
        <v>Normal</v>
      </c>
    </row>
    <row r="37" spans="1:13" x14ac:dyDescent="0.3">
      <c r="A37" s="10">
        <v>1036</v>
      </c>
      <c r="B37" s="7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2">
        <v>3200</v>
      </c>
      <c r="I37">
        <f t="shared" si="5"/>
        <v>38400</v>
      </c>
      <c r="J37">
        <f t="shared" si="6"/>
        <v>7680</v>
      </c>
      <c r="K37" t="str">
        <f t="shared" si="7"/>
        <v>Apr</v>
      </c>
      <c r="L37" t="str">
        <f t="shared" si="8"/>
        <v>Q2</v>
      </c>
      <c r="M37" t="str">
        <f t="shared" si="9"/>
        <v>High Value</v>
      </c>
    </row>
    <row r="38" spans="1:13" x14ac:dyDescent="0.3">
      <c r="A38" s="11">
        <v>1037</v>
      </c>
      <c r="B38" s="8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3">
        <v>2800</v>
      </c>
      <c r="I38">
        <f t="shared" si="5"/>
        <v>14000</v>
      </c>
      <c r="J38">
        <f t="shared" si="6"/>
        <v>2800</v>
      </c>
      <c r="K38" t="str">
        <f t="shared" si="7"/>
        <v>Oct</v>
      </c>
      <c r="L38" t="str">
        <f t="shared" si="8"/>
        <v>Q4</v>
      </c>
      <c r="M38" t="str">
        <f t="shared" si="9"/>
        <v>High Value</v>
      </c>
    </row>
    <row r="39" spans="1:13" x14ac:dyDescent="0.3">
      <c r="A39" s="10">
        <v>1038</v>
      </c>
      <c r="B39" s="7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2">
        <v>8500</v>
      </c>
      <c r="I39">
        <f t="shared" si="5"/>
        <v>93500</v>
      </c>
      <c r="J39">
        <f t="shared" si="6"/>
        <v>18700</v>
      </c>
      <c r="K39" t="str">
        <f t="shared" si="7"/>
        <v>Apr</v>
      </c>
      <c r="L39" t="str">
        <f t="shared" si="8"/>
        <v>Q2</v>
      </c>
      <c r="M39" t="str">
        <f t="shared" si="9"/>
        <v>High Value</v>
      </c>
    </row>
    <row r="40" spans="1:13" x14ac:dyDescent="0.3">
      <c r="A40" s="11">
        <v>1039</v>
      </c>
      <c r="B40" s="8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3">
        <v>8500</v>
      </c>
      <c r="I40">
        <f t="shared" si="5"/>
        <v>76500</v>
      </c>
      <c r="J40">
        <f t="shared" si="6"/>
        <v>15300</v>
      </c>
      <c r="K40" t="str">
        <f t="shared" si="7"/>
        <v>Sep</v>
      </c>
      <c r="L40" t="str">
        <f t="shared" si="8"/>
        <v>Q3</v>
      </c>
      <c r="M40" t="str">
        <f t="shared" si="9"/>
        <v>High Value</v>
      </c>
    </row>
    <row r="41" spans="1:13" x14ac:dyDescent="0.3">
      <c r="A41" s="10">
        <v>1040</v>
      </c>
      <c r="B41" s="7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2">
        <v>7500</v>
      </c>
      <c r="I41">
        <f t="shared" si="5"/>
        <v>97500</v>
      </c>
      <c r="J41">
        <f t="shared" si="6"/>
        <v>19500</v>
      </c>
      <c r="K41" t="str">
        <f t="shared" si="7"/>
        <v>Oct</v>
      </c>
      <c r="L41" t="str">
        <f t="shared" si="8"/>
        <v>Q4</v>
      </c>
      <c r="M41" t="str">
        <f t="shared" si="9"/>
        <v>High Value</v>
      </c>
    </row>
    <row r="42" spans="1:13" x14ac:dyDescent="0.3">
      <c r="A42" s="11">
        <v>1041</v>
      </c>
      <c r="B42" s="8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3">
        <v>950</v>
      </c>
      <c r="I42">
        <f t="shared" si="5"/>
        <v>11400</v>
      </c>
      <c r="J42">
        <f t="shared" si="6"/>
        <v>2280</v>
      </c>
      <c r="K42" t="str">
        <f t="shared" si="7"/>
        <v>Mar</v>
      </c>
      <c r="L42" t="str">
        <f t="shared" si="8"/>
        <v>Q1</v>
      </c>
      <c r="M42" t="str">
        <f t="shared" si="9"/>
        <v>High Value</v>
      </c>
    </row>
    <row r="43" spans="1:13" x14ac:dyDescent="0.3">
      <c r="A43" s="10">
        <v>1042</v>
      </c>
      <c r="B43" s="7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2">
        <v>1200</v>
      </c>
      <c r="I43">
        <f t="shared" si="5"/>
        <v>13200</v>
      </c>
      <c r="J43">
        <f t="shared" si="6"/>
        <v>2640</v>
      </c>
      <c r="K43" t="str">
        <f t="shared" si="7"/>
        <v>Nov</v>
      </c>
      <c r="L43" t="str">
        <f t="shared" si="8"/>
        <v>Q4</v>
      </c>
      <c r="M43" t="str">
        <f t="shared" si="9"/>
        <v>High Value</v>
      </c>
    </row>
    <row r="44" spans="1:13" x14ac:dyDescent="0.3">
      <c r="A44" s="11">
        <v>1043</v>
      </c>
      <c r="B44" s="8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3">
        <v>650</v>
      </c>
      <c r="I44">
        <f t="shared" si="5"/>
        <v>1300</v>
      </c>
      <c r="J44">
        <f t="shared" si="6"/>
        <v>260</v>
      </c>
      <c r="K44" t="str">
        <f t="shared" si="7"/>
        <v>Nov</v>
      </c>
      <c r="L44" t="str">
        <f t="shared" si="8"/>
        <v>Q4</v>
      </c>
      <c r="M44" t="str">
        <f t="shared" si="9"/>
        <v>Normal</v>
      </c>
    </row>
    <row r="45" spans="1:13" x14ac:dyDescent="0.3">
      <c r="A45" s="10">
        <v>1044</v>
      </c>
      <c r="B45" s="7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2">
        <v>1500</v>
      </c>
      <c r="I45">
        <f t="shared" si="5"/>
        <v>13500</v>
      </c>
      <c r="J45">
        <f t="shared" si="6"/>
        <v>2700</v>
      </c>
      <c r="K45" t="str">
        <f t="shared" si="7"/>
        <v>Jan</v>
      </c>
      <c r="L45" t="str">
        <f t="shared" si="8"/>
        <v>Q1</v>
      </c>
      <c r="M45" t="str">
        <f t="shared" si="9"/>
        <v>High Value</v>
      </c>
    </row>
    <row r="46" spans="1:13" x14ac:dyDescent="0.3">
      <c r="A46" s="11">
        <v>1045</v>
      </c>
      <c r="B46" s="8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3">
        <v>3200</v>
      </c>
      <c r="I46">
        <f t="shared" si="5"/>
        <v>22400</v>
      </c>
      <c r="J46">
        <f t="shared" si="6"/>
        <v>4480</v>
      </c>
      <c r="K46" t="str">
        <f t="shared" si="7"/>
        <v>Mar</v>
      </c>
      <c r="L46" t="str">
        <f t="shared" si="8"/>
        <v>Q1</v>
      </c>
      <c r="M46" t="str">
        <f t="shared" si="9"/>
        <v>High Value</v>
      </c>
    </row>
    <row r="47" spans="1:13" x14ac:dyDescent="0.3">
      <c r="A47" s="10">
        <v>1046</v>
      </c>
      <c r="B47" s="7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2">
        <v>1100</v>
      </c>
      <c r="I47">
        <f t="shared" si="5"/>
        <v>4400</v>
      </c>
      <c r="J47">
        <f t="shared" si="6"/>
        <v>880</v>
      </c>
      <c r="K47" t="str">
        <f t="shared" si="7"/>
        <v>Mar</v>
      </c>
      <c r="L47" t="str">
        <f t="shared" si="8"/>
        <v>Q1</v>
      </c>
      <c r="M47" t="str">
        <f t="shared" si="9"/>
        <v>Normal</v>
      </c>
    </row>
    <row r="48" spans="1:13" x14ac:dyDescent="0.3">
      <c r="A48" s="11">
        <v>1047</v>
      </c>
      <c r="B48" s="8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3">
        <v>1400</v>
      </c>
      <c r="I48">
        <f t="shared" si="5"/>
        <v>18200</v>
      </c>
      <c r="J48">
        <f t="shared" si="6"/>
        <v>3640</v>
      </c>
      <c r="K48" t="str">
        <f t="shared" si="7"/>
        <v>Jul</v>
      </c>
      <c r="L48" t="str">
        <f t="shared" si="8"/>
        <v>Q3</v>
      </c>
      <c r="M48" t="str">
        <f t="shared" si="9"/>
        <v>High Value</v>
      </c>
    </row>
    <row r="49" spans="1:13" x14ac:dyDescent="0.3">
      <c r="A49" s="10">
        <v>1048</v>
      </c>
      <c r="B49" s="7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2">
        <v>1100</v>
      </c>
      <c r="I49">
        <f t="shared" si="5"/>
        <v>16500</v>
      </c>
      <c r="J49">
        <f t="shared" si="6"/>
        <v>3300</v>
      </c>
      <c r="K49" t="str">
        <f t="shared" si="7"/>
        <v>Sep</v>
      </c>
      <c r="L49" t="str">
        <f t="shared" si="8"/>
        <v>Q3</v>
      </c>
      <c r="M49" t="str">
        <f t="shared" si="9"/>
        <v>High Value</v>
      </c>
    </row>
    <row r="50" spans="1:13" x14ac:dyDescent="0.3">
      <c r="A50" s="11">
        <v>1049</v>
      </c>
      <c r="B50" s="8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3">
        <v>3200</v>
      </c>
      <c r="I50">
        <f t="shared" si="5"/>
        <v>9600</v>
      </c>
      <c r="J50">
        <f t="shared" si="6"/>
        <v>1920</v>
      </c>
      <c r="K50" t="str">
        <f t="shared" si="7"/>
        <v>Oct</v>
      </c>
      <c r="L50" t="str">
        <f t="shared" si="8"/>
        <v>Q4</v>
      </c>
      <c r="M50" t="str">
        <f t="shared" si="9"/>
        <v>Normal</v>
      </c>
    </row>
    <row r="51" spans="1:13" x14ac:dyDescent="0.3">
      <c r="A51" s="10">
        <v>1050</v>
      </c>
      <c r="B51" s="7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2">
        <v>8500</v>
      </c>
      <c r="I51">
        <f t="shared" si="5"/>
        <v>51000</v>
      </c>
      <c r="J51">
        <f t="shared" si="6"/>
        <v>10200</v>
      </c>
      <c r="K51" t="str">
        <f t="shared" si="7"/>
        <v>Nov</v>
      </c>
      <c r="L51" t="str">
        <f t="shared" si="8"/>
        <v>Q4</v>
      </c>
      <c r="M51" t="str">
        <f t="shared" si="9"/>
        <v>High Value</v>
      </c>
    </row>
    <row r="52" spans="1:13" x14ac:dyDescent="0.3">
      <c r="A52" s="10">
        <v>1051</v>
      </c>
      <c r="B52" s="7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2">
        <v>950</v>
      </c>
      <c r="I52">
        <f t="shared" si="5"/>
        <v>13300</v>
      </c>
      <c r="J52">
        <f t="shared" si="6"/>
        <v>2660</v>
      </c>
      <c r="K52" t="str">
        <f t="shared" si="7"/>
        <v>Feb</v>
      </c>
      <c r="L52" t="str">
        <f t="shared" si="8"/>
        <v>Q1</v>
      </c>
      <c r="M52" t="str">
        <f t="shared" si="9"/>
        <v>High Value</v>
      </c>
    </row>
    <row r="53" spans="1:13" x14ac:dyDescent="0.3">
      <c r="A53" s="11">
        <v>1052</v>
      </c>
      <c r="B53" s="8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3">
        <v>8500</v>
      </c>
      <c r="I53">
        <f t="shared" si="5"/>
        <v>102000</v>
      </c>
      <c r="J53">
        <f t="shared" si="6"/>
        <v>20400</v>
      </c>
      <c r="K53" t="str">
        <f t="shared" si="7"/>
        <v>Oct</v>
      </c>
      <c r="L53" t="str">
        <f t="shared" si="8"/>
        <v>Q4</v>
      </c>
      <c r="M53" t="str">
        <f t="shared" si="9"/>
        <v>High Value</v>
      </c>
    </row>
    <row r="54" spans="1:13" x14ac:dyDescent="0.3">
      <c r="A54" s="10">
        <v>1053</v>
      </c>
      <c r="B54" s="7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2">
        <v>1100</v>
      </c>
      <c r="I54">
        <f t="shared" si="5"/>
        <v>11000</v>
      </c>
      <c r="J54">
        <f t="shared" si="6"/>
        <v>2200</v>
      </c>
      <c r="K54" t="str">
        <f t="shared" si="7"/>
        <v>Sep</v>
      </c>
      <c r="L54" t="str">
        <f t="shared" si="8"/>
        <v>Q3</v>
      </c>
      <c r="M54" t="str">
        <f t="shared" si="9"/>
        <v>High Value</v>
      </c>
    </row>
    <row r="55" spans="1:13" x14ac:dyDescent="0.3">
      <c r="A55" s="11">
        <v>1054</v>
      </c>
      <c r="B55" s="8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3">
        <v>2500</v>
      </c>
      <c r="I55">
        <f t="shared" si="5"/>
        <v>27500</v>
      </c>
      <c r="J55">
        <f t="shared" si="6"/>
        <v>5500</v>
      </c>
      <c r="K55" t="str">
        <f t="shared" si="7"/>
        <v>Oct</v>
      </c>
      <c r="L55" t="str">
        <f t="shared" si="8"/>
        <v>Q4</v>
      </c>
      <c r="M55" t="str">
        <f t="shared" si="9"/>
        <v>High Value</v>
      </c>
    </row>
    <row r="56" spans="1:13" x14ac:dyDescent="0.3">
      <c r="A56" s="10">
        <v>1055</v>
      </c>
      <c r="B56" s="7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2">
        <v>2500</v>
      </c>
      <c r="I56">
        <f t="shared" si="5"/>
        <v>27500</v>
      </c>
      <c r="J56">
        <f t="shared" si="6"/>
        <v>5500</v>
      </c>
      <c r="K56" t="str">
        <f t="shared" si="7"/>
        <v>Jul</v>
      </c>
      <c r="L56" t="str">
        <f t="shared" si="8"/>
        <v>Q3</v>
      </c>
      <c r="M56" t="str">
        <f t="shared" si="9"/>
        <v>High Value</v>
      </c>
    </row>
    <row r="57" spans="1:13" x14ac:dyDescent="0.3">
      <c r="A57" s="11">
        <v>1056</v>
      </c>
      <c r="B57" s="8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3">
        <v>2800</v>
      </c>
      <c r="I57">
        <f t="shared" si="5"/>
        <v>14000</v>
      </c>
      <c r="J57">
        <f t="shared" si="6"/>
        <v>2800</v>
      </c>
      <c r="K57" t="str">
        <f t="shared" si="7"/>
        <v>Nov</v>
      </c>
      <c r="L57" t="str">
        <f t="shared" si="8"/>
        <v>Q4</v>
      </c>
      <c r="M57" t="str">
        <f t="shared" si="9"/>
        <v>High Value</v>
      </c>
    </row>
    <row r="58" spans="1:13" x14ac:dyDescent="0.3">
      <c r="A58" s="10">
        <v>1057</v>
      </c>
      <c r="B58" s="7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2">
        <v>3200</v>
      </c>
      <c r="I58">
        <f t="shared" si="5"/>
        <v>19200</v>
      </c>
      <c r="J58">
        <f t="shared" si="6"/>
        <v>3840</v>
      </c>
      <c r="K58" t="str">
        <f t="shared" si="7"/>
        <v>Apr</v>
      </c>
      <c r="L58" t="str">
        <f t="shared" si="8"/>
        <v>Q2</v>
      </c>
      <c r="M58" t="str">
        <f t="shared" si="9"/>
        <v>High Value</v>
      </c>
    </row>
    <row r="59" spans="1:13" x14ac:dyDescent="0.3">
      <c r="A59" s="11">
        <v>1058</v>
      </c>
      <c r="B59" s="8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3">
        <v>3200</v>
      </c>
      <c r="I59">
        <f t="shared" si="5"/>
        <v>28800</v>
      </c>
      <c r="J59">
        <f t="shared" si="6"/>
        <v>5760</v>
      </c>
      <c r="K59" t="str">
        <f t="shared" si="7"/>
        <v>Jan</v>
      </c>
      <c r="L59" t="str">
        <f t="shared" si="8"/>
        <v>Q1</v>
      </c>
      <c r="M59" t="str">
        <f t="shared" si="9"/>
        <v>High Value</v>
      </c>
    </row>
    <row r="60" spans="1:13" x14ac:dyDescent="0.3">
      <c r="A60" s="10">
        <v>1059</v>
      </c>
      <c r="B60" s="7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2">
        <v>2200</v>
      </c>
      <c r="I60">
        <f t="shared" si="5"/>
        <v>24200</v>
      </c>
      <c r="J60">
        <f t="shared" si="6"/>
        <v>4840</v>
      </c>
      <c r="K60" t="str">
        <f t="shared" si="7"/>
        <v>Jan</v>
      </c>
      <c r="L60" t="str">
        <f t="shared" si="8"/>
        <v>Q1</v>
      </c>
      <c r="M60" t="str">
        <f t="shared" si="9"/>
        <v>High Value</v>
      </c>
    </row>
    <row r="61" spans="1:13" x14ac:dyDescent="0.3">
      <c r="A61" s="11">
        <v>1060</v>
      </c>
      <c r="B61" s="8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3">
        <v>7500</v>
      </c>
      <c r="I61">
        <f t="shared" si="5"/>
        <v>112500</v>
      </c>
      <c r="J61">
        <f t="shared" si="6"/>
        <v>22500</v>
      </c>
      <c r="K61" t="str">
        <f t="shared" si="7"/>
        <v>Sep</v>
      </c>
      <c r="L61" t="str">
        <f t="shared" si="8"/>
        <v>Q3</v>
      </c>
      <c r="M61" t="str">
        <f t="shared" si="9"/>
        <v>High Value</v>
      </c>
    </row>
    <row r="62" spans="1:13" x14ac:dyDescent="0.3">
      <c r="A62" s="10">
        <v>1061</v>
      </c>
      <c r="B62" s="7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2">
        <v>1800</v>
      </c>
      <c r="I62">
        <f t="shared" si="5"/>
        <v>9000</v>
      </c>
      <c r="J62">
        <f t="shared" si="6"/>
        <v>1800</v>
      </c>
      <c r="K62" t="str">
        <f t="shared" si="7"/>
        <v>Nov</v>
      </c>
      <c r="L62" t="str">
        <f t="shared" si="8"/>
        <v>Q4</v>
      </c>
      <c r="M62" t="str">
        <f t="shared" si="9"/>
        <v>Normal</v>
      </c>
    </row>
    <row r="63" spans="1:13" x14ac:dyDescent="0.3">
      <c r="A63" s="11">
        <v>1062</v>
      </c>
      <c r="B63" s="8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3">
        <v>2200</v>
      </c>
      <c r="I63">
        <f t="shared" si="5"/>
        <v>33000</v>
      </c>
      <c r="J63">
        <f t="shared" si="6"/>
        <v>6600</v>
      </c>
      <c r="K63" t="str">
        <f t="shared" si="7"/>
        <v>May</v>
      </c>
      <c r="L63" t="str">
        <f t="shared" si="8"/>
        <v>Q2</v>
      </c>
      <c r="M63" t="str">
        <f t="shared" si="9"/>
        <v>High Value</v>
      </c>
    </row>
    <row r="64" spans="1:13" x14ac:dyDescent="0.3">
      <c r="A64" s="10">
        <v>1063</v>
      </c>
      <c r="B64" s="7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2">
        <v>3200</v>
      </c>
      <c r="I64">
        <f t="shared" si="5"/>
        <v>44800</v>
      </c>
      <c r="J64">
        <f t="shared" si="6"/>
        <v>8960</v>
      </c>
      <c r="K64" t="str">
        <f t="shared" si="7"/>
        <v>Aug</v>
      </c>
      <c r="L64" t="str">
        <f t="shared" si="8"/>
        <v>Q3</v>
      </c>
      <c r="M64" t="str">
        <f t="shared" si="9"/>
        <v>High Value</v>
      </c>
    </row>
    <row r="65" spans="1:13" x14ac:dyDescent="0.3">
      <c r="A65" s="11">
        <v>1064</v>
      </c>
      <c r="B65" s="8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3">
        <v>1800</v>
      </c>
      <c r="I65">
        <f t="shared" si="5"/>
        <v>18000</v>
      </c>
      <c r="J65">
        <f t="shared" si="6"/>
        <v>3600</v>
      </c>
      <c r="K65" t="str">
        <f t="shared" si="7"/>
        <v>Jul</v>
      </c>
      <c r="L65" t="str">
        <f t="shared" si="8"/>
        <v>Q3</v>
      </c>
      <c r="M65" t="str">
        <f t="shared" si="9"/>
        <v>High Value</v>
      </c>
    </row>
    <row r="66" spans="1:13" x14ac:dyDescent="0.3">
      <c r="A66" s="10">
        <v>1065</v>
      </c>
      <c r="B66" s="7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2">
        <v>7500</v>
      </c>
      <c r="I66">
        <f t="shared" ref="I66:I97" si="10">G66*H66</f>
        <v>15000</v>
      </c>
      <c r="J66">
        <f t="shared" ref="J66:J97" si="11">I66*20%</f>
        <v>3000</v>
      </c>
      <c r="K66" t="str">
        <f t="shared" ref="K66:K97" si="12">TEXT(B66,"MMM")</f>
        <v>Sep</v>
      </c>
      <c r="L66" t="str">
        <f t="shared" ref="L66:L97" si="13">IF(MONTH(B66)&lt;=3,"Q1",IF(MONTH(B66)&lt;=6,"Q2",IF(MONTH(B66)&lt;=9,"Q3","Q4")))</f>
        <v>Q3</v>
      </c>
      <c r="M66" t="str">
        <f t="shared" ref="M66:M97" si="14">IF(I66&gt;10000,"High Value","Normal")</f>
        <v>High Value</v>
      </c>
    </row>
    <row r="67" spans="1:13" x14ac:dyDescent="0.3">
      <c r="A67" s="11">
        <v>1066</v>
      </c>
      <c r="B67" s="8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3">
        <v>650</v>
      </c>
      <c r="I67">
        <f t="shared" si="10"/>
        <v>4550</v>
      </c>
      <c r="J67">
        <f t="shared" si="11"/>
        <v>910</v>
      </c>
      <c r="K67" t="str">
        <f t="shared" si="12"/>
        <v>Jul</v>
      </c>
      <c r="L67" t="str">
        <f t="shared" si="13"/>
        <v>Q3</v>
      </c>
      <c r="M67" t="str">
        <f t="shared" si="14"/>
        <v>Normal</v>
      </c>
    </row>
    <row r="68" spans="1:13" x14ac:dyDescent="0.3">
      <c r="A68" s="10">
        <v>1067</v>
      </c>
      <c r="B68" s="7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2">
        <v>3200</v>
      </c>
      <c r="I68">
        <f t="shared" si="10"/>
        <v>25600</v>
      </c>
      <c r="J68">
        <f t="shared" si="11"/>
        <v>5120</v>
      </c>
      <c r="K68" t="str">
        <f t="shared" si="12"/>
        <v>Jun</v>
      </c>
      <c r="L68" t="str">
        <f t="shared" si="13"/>
        <v>Q2</v>
      </c>
      <c r="M68" t="str">
        <f t="shared" si="14"/>
        <v>High Value</v>
      </c>
    </row>
    <row r="69" spans="1:13" x14ac:dyDescent="0.3">
      <c r="A69" s="11">
        <v>1068</v>
      </c>
      <c r="B69" s="8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3">
        <v>2800</v>
      </c>
      <c r="I69">
        <f t="shared" si="10"/>
        <v>19600</v>
      </c>
      <c r="J69">
        <f t="shared" si="11"/>
        <v>3920</v>
      </c>
      <c r="K69" t="str">
        <f t="shared" si="12"/>
        <v>Sep</v>
      </c>
      <c r="L69" t="str">
        <f t="shared" si="13"/>
        <v>Q3</v>
      </c>
      <c r="M69" t="str">
        <f t="shared" si="14"/>
        <v>High Value</v>
      </c>
    </row>
    <row r="70" spans="1:13" x14ac:dyDescent="0.3">
      <c r="A70" s="10">
        <v>1069</v>
      </c>
      <c r="B70" s="7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2">
        <v>850</v>
      </c>
      <c r="I70">
        <f t="shared" si="10"/>
        <v>850</v>
      </c>
      <c r="J70">
        <f t="shared" si="11"/>
        <v>170</v>
      </c>
      <c r="K70" t="str">
        <f t="shared" si="12"/>
        <v>Aug</v>
      </c>
      <c r="L70" t="str">
        <f t="shared" si="13"/>
        <v>Q3</v>
      </c>
      <c r="M70" t="str">
        <f t="shared" si="14"/>
        <v>Normal</v>
      </c>
    </row>
    <row r="71" spans="1:13" x14ac:dyDescent="0.3">
      <c r="A71" s="11">
        <v>1070</v>
      </c>
      <c r="B71" s="8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3">
        <v>3200</v>
      </c>
      <c r="I71">
        <f t="shared" si="10"/>
        <v>25600</v>
      </c>
      <c r="J71">
        <f t="shared" si="11"/>
        <v>5120</v>
      </c>
      <c r="K71" t="str">
        <f t="shared" si="12"/>
        <v>Aug</v>
      </c>
      <c r="L71" t="str">
        <f t="shared" si="13"/>
        <v>Q3</v>
      </c>
      <c r="M71" t="str">
        <f t="shared" si="14"/>
        <v>High Value</v>
      </c>
    </row>
    <row r="72" spans="1:13" x14ac:dyDescent="0.3">
      <c r="A72" s="10">
        <v>1071</v>
      </c>
      <c r="B72" s="7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2">
        <v>1800</v>
      </c>
      <c r="I72">
        <f t="shared" si="10"/>
        <v>18000</v>
      </c>
      <c r="J72">
        <f t="shared" si="11"/>
        <v>3600</v>
      </c>
      <c r="K72" t="str">
        <f t="shared" si="12"/>
        <v>Jul</v>
      </c>
      <c r="L72" t="str">
        <f t="shared" si="13"/>
        <v>Q3</v>
      </c>
      <c r="M72" t="str">
        <f t="shared" si="14"/>
        <v>High Value</v>
      </c>
    </row>
    <row r="73" spans="1:13" x14ac:dyDescent="0.3">
      <c r="A73" s="11">
        <v>1072</v>
      </c>
      <c r="B73" s="8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3">
        <v>3200</v>
      </c>
      <c r="I73">
        <f t="shared" si="10"/>
        <v>22400</v>
      </c>
      <c r="J73">
        <f t="shared" si="11"/>
        <v>4480</v>
      </c>
      <c r="K73" t="str">
        <f t="shared" si="12"/>
        <v>Mar</v>
      </c>
      <c r="L73" t="str">
        <f t="shared" si="13"/>
        <v>Q1</v>
      </c>
      <c r="M73" t="str">
        <f t="shared" si="14"/>
        <v>High Value</v>
      </c>
    </row>
    <row r="74" spans="1:13" x14ac:dyDescent="0.3">
      <c r="A74" s="10">
        <v>1073</v>
      </c>
      <c r="B74" s="7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2">
        <v>1100</v>
      </c>
      <c r="I74">
        <f t="shared" si="10"/>
        <v>1100</v>
      </c>
      <c r="J74">
        <f t="shared" si="11"/>
        <v>220</v>
      </c>
      <c r="K74" t="str">
        <f t="shared" si="12"/>
        <v>Jul</v>
      </c>
      <c r="L74" t="str">
        <f t="shared" si="13"/>
        <v>Q3</v>
      </c>
      <c r="M74" t="str">
        <f t="shared" si="14"/>
        <v>Normal</v>
      </c>
    </row>
    <row r="75" spans="1:13" x14ac:dyDescent="0.3">
      <c r="A75" s="11">
        <v>1074</v>
      </c>
      <c r="B75" s="8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3">
        <v>1400</v>
      </c>
      <c r="I75">
        <f t="shared" si="10"/>
        <v>7000</v>
      </c>
      <c r="J75">
        <f t="shared" si="11"/>
        <v>1400</v>
      </c>
      <c r="K75" t="str">
        <f t="shared" si="12"/>
        <v>Jan</v>
      </c>
      <c r="L75" t="str">
        <f t="shared" si="13"/>
        <v>Q1</v>
      </c>
      <c r="M75" t="str">
        <f t="shared" si="14"/>
        <v>Normal</v>
      </c>
    </row>
    <row r="76" spans="1:13" x14ac:dyDescent="0.3">
      <c r="A76" s="10">
        <v>1075</v>
      </c>
      <c r="B76" s="7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2">
        <v>2200</v>
      </c>
      <c r="I76">
        <f t="shared" si="10"/>
        <v>26400</v>
      </c>
      <c r="J76">
        <f t="shared" si="11"/>
        <v>5280</v>
      </c>
      <c r="K76" t="str">
        <f t="shared" si="12"/>
        <v>Nov</v>
      </c>
      <c r="L76" t="str">
        <f t="shared" si="13"/>
        <v>Q4</v>
      </c>
      <c r="M76" t="str">
        <f t="shared" si="14"/>
        <v>High Value</v>
      </c>
    </row>
    <row r="77" spans="1:13" x14ac:dyDescent="0.3">
      <c r="A77" s="11">
        <v>1076</v>
      </c>
      <c r="B77" s="8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3">
        <v>1200</v>
      </c>
      <c r="I77">
        <f t="shared" si="10"/>
        <v>16800</v>
      </c>
      <c r="J77">
        <f t="shared" si="11"/>
        <v>3360</v>
      </c>
      <c r="K77" t="str">
        <f t="shared" si="12"/>
        <v>Feb</v>
      </c>
      <c r="L77" t="str">
        <f t="shared" si="13"/>
        <v>Q1</v>
      </c>
      <c r="M77" t="str">
        <f t="shared" si="14"/>
        <v>High Value</v>
      </c>
    </row>
    <row r="78" spans="1:13" x14ac:dyDescent="0.3">
      <c r="A78" s="10">
        <v>1077</v>
      </c>
      <c r="B78" s="7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2">
        <v>2500</v>
      </c>
      <c r="I78">
        <f t="shared" si="10"/>
        <v>5000</v>
      </c>
      <c r="J78">
        <f t="shared" si="11"/>
        <v>1000</v>
      </c>
      <c r="K78" t="str">
        <f t="shared" si="12"/>
        <v>Aug</v>
      </c>
      <c r="L78" t="str">
        <f t="shared" si="13"/>
        <v>Q3</v>
      </c>
      <c r="M78" t="str">
        <f t="shared" si="14"/>
        <v>Normal</v>
      </c>
    </row>
    <row r="79" spans="1:13" x14ac:dyDescent="0.3">
      <c r="A79" s="11">
        <v>1078</v>
      </c>
      <c r="B79" s="8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3">
        <v>2200</v>
      </c>
      <c r="I79">
        <f t="shared" si="10"/>
        <v>26400</v>
      </c>
      <c r="J79">
        <f t="shared" si="11"/>
        <v>5280</v>
      </c>
      <c r="K79" t="str">
        <f t="shared" si="12"/>
        <v>Mar</v>
      </c>
      <c r="L79" t="str">
        <f t="shared" si="13"/>
        <v>Q1</v>
      </c>
      <c r="M79" t="str">
        <f t="shared" si="14"/>
        <v>High Value</v>
      </c>
    </row>
    <row r="80" spans="1:13" x14ac:dyDescent="0.3">
      <c r="A80" s="10">
        <v>1079</v>
      </c>
      <c r="B80" s="29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2">
        <v>8500</v>
      </c>
      <c r="I80">
        <f t="shared" si="10"/>
        <v>34000</v>
      </c>
      <c r="J80">
        <f t="shared" si="11"/>
        <v>6800</v>
      </c>
      <c r="K80" t="str">
        <f t="shared" si="12"/>
        <v>Sep</v>
      </c>
      <c r="L80" t="str">
        <f t="shared" si="13"/>
        <v>Q3</v>
      </c>
      <c r="M80" t="str">
        <f t="shared" si="14"/>
        <v>High Value</v>
      </c>
    </row>
    <row r="81" spans="1:13" x14ac:dyDescent="0.3">
      <c r="A81" s="11">
        <v>1080</v>
      </c>
      <c r="B81" s="8">
        <v>45594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3">
        <v>650</v>
      </c>
      <c r="I81">
        <f t="shared" si="10"/>
        <v>650</v>
      </c>
      <c r="J81">
        <f t="shared" si="11"/>
        <v>130</v>
      </c>
      <c r="K81" t="str">
        <f t="shared" si="12"/>
        <v>Oct</v>
      </c>
      <c r="L81" t="str">
        <f t="shared" si="13"/>
        <v>Q4</v>
      </c>
      <c r="M81" t="str">
        <f t="shared" si="14"/>
        <v>Normal</v>
      </c>
    </row>
    <row r="82" spans="1:13" x14ac:dyDescent="0.3">
      <c r="A82" s="10">
        <v>1081</v>
      </c>
      <c r="B82" s="7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2">
        <v>2800</v>
      </c>
      <c r="I82">
        <f t="shared" si="10"/>
        <v>5600</v>
      </c>
      <c r="J82">
        <f t="shared" si="11"/>
        <v>1120</v>
      </c>
      <c r="K82" t="str">
        <f t="shared" si="12"/>
        <v>May</v>
      </c>
      <c r="L82" t="str">
        <f t="shared" si="13"/>
        <v>Q2</v>
      </c>
      <c r="M82" t="str">
        <f t="shared" si="14"/>
        <v>Normal</v>
      </c>
    </row>
    <row r="83" spans="1:13" x14ac:dyDescent="0.3">
      <c r="A83" s="11">
        <v>1082</v>
      </c>
      <c r="B83" s="8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3">
        <v>7500</v>
      </c>
      <c r="I83">
        <f t="shared" si="10"/>
        <v>52500</v>
      </c>
      <c r="J83">
        <f t="shared" si="11"/>
        <v>10500</v>
      </c>
      <c r="K83" t="str">
        <f t="shared" si="12"/>
        <v>Sep</v>
      </c>
      <c r="L83" t="str">
        <f t="shared" si="13"/>
        <v>Q3</v>
      </c>
      <c r="M83" t="str">
        <f t="shared" si="14"/>
        <v>High Value</v>
      </c>
    </row>
    <row r="84" spans="1:13" x14ac:dyDescent="0.3">
      <c r="A84" s="10">
        <v>1083</v>
      </c>
      <c r="B84" s="7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2">
        <v>8500</v>
      </c>
      <c r="I84">
        <f t="shared" si="10"/>
        <v>102000</v>
      </c>
      <c r="J84">
        <f t="shared" si="11"/>
        <v>20400</v>
      </c>
      <c r="K84" t="str">
        <f t="shared" si="12"/>
        <v>Mar</v>
      </c>
      <c r="L84" t="str">
        <f t="shared" si="13"/>
        <v>Q1</v>
      </c>
      <c r="M84" t="str">
        <f t="shared" si="14"/>
        <v>High Value</v>
      </c>
    </row>
    <row r="85" spans="1:13" x14ac:dyDescent="0.3">
      <c r="A85" s="11">
        <v>1084</v>
      </c>
      <c r="B85" s="8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3">
        <v>1400</v>
      </c>
      <c r="I85">
        <f t="shared" si="10"/>
        <v>2800</v>
      </c>
      <c r="J85">
        <f t="shared" si="11"/>
        <v>560</v>
      </c>
      <c r="K85" t="str">
        <f t="shared" si="12"/>
        <v>Oct</v>
      </c>
      <c r="L85" t="str">
        <f t="shared" si="13"/>
        <v>Q4</v>
      </c>
      <c r="M85" t="str">
        <f t="shared" si="14"/>
        <v>Normal</v>
      </c>
    </row>
    <row r="86" spans="1:13" x14ac:dyDescent="0.3">
      <c r="A86" s="10">
        <v>1085</v>
      </c>
      <c r="B86" s="7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2">
        <v>8500</v>
      </c>
      <c r="I86">
        <f t="shared" si="10"/>
        <v>8500</v>
      </c>
      <c r="J86">
        <f t="shared" si="11"/>
        <v>1700</v>
      </c>
      <c r="K86" t="str">
        <f t="shared" si="12"/>
        <v>Oct</v>
      </c>
      <c r="L86" t="str">
        <f t="shared" si="13"/>
        <v>Q4</v>
      </c>
      <c r="M86" t="str">
        <f t="shared" si="14"/>
        <v>Normal</v>
      </c>
    </row>
    <row r="87" spans="1:13" x14ac:dyDescent="0.3">
      <c r="A87" s="11">
        <v>1086</v>
      </c>
      <c r="B87" s="8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3">
        <v>1500</v>
      </c>
      <c r="I87">
        <f t="shared" si="10"/>
        <v>4500</v>
      </c>
      <c r="J87">
        <f t="shared" si="11"/>
        <v>900</v>
      </c>
      <c r="K87" t="str">
        <f t="shared" si="12"/>
        <v>Apr</v>
      </c>
      <c r="L87" t="str">
        <f t="shared" si="13"/>
        <v>Q2</v>
      </c>
      <c r="M87" t="str">
        <f t="shared" si="14"/>
        <v>Normal</v>
      </c>
    </row>
    <row r="88" spans="1:13" x14ac:dyDescent="0.3">
      <c r="A88" s="10">
        <v>1087</v>
      </c>
      <c r="B88" s="7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2">
        <v>1100</v>
      </c>
      <c r="I88">
        <f t="shared" si="10"/>
        <v>13200</v>
      </c>
      <c r="J88">
        <f t="shared" si="11"/>
        <v>2640</v>
      </c>
      <c r="K88" t="str">
        <f t="shared" si="12"/>
        <v>Jan</v>
      </c>
      <c r="L88" t="str">
        <f t="shared" si="13"/>
        <v>Q1</v>
      </c>
      <c r="M88" t="str">
        <f t="shared" si="14"/>
        <v>High Value</v>
      </c>
    </row>
    <row r="89" spans="1:13" x14ac:dyDescent="0.3">
      <c r="A89" s="11">
        <v>1088</v>
      </c>
      <c r="B89" s="8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3">
        <v>3200</v>
      </c>
      <c r="I89">
        <f t="shared" si="10"/>
        <v>35200</v>
      </c>
      <c r="J89">
        <f t="shared" si="11"/>
        <v>7040</v>
      </c>
      <c r="K89" t="str">
        <f t="shared" si="12"/>
        <v>Jan</v>
      </c>
      <c r="L89" t="str">
        <f t="shared" si="13"/>
        <v>Q1</v>
      </c>
      <c r="M89" t="str">
        <f t="shared" si="14"/>
        <v>High Value</v>
      </c>
    </row>
    <row r="90" spans="1:13" x14ac:dyDescent="0.3">
      <c r="A90" s="10">
        <v>1089</v>
      </c>
      <c r="B90" s="7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2">
        <v>1400</v>
      </c>
      <c r="I90">
        <f t="shared" si="10"/>
        <v>5600</v>
      </c>
      <c r="J90">
        <f t="shared" si="11"/>
        <v>1120</v>
      </c>
      <c r="K90" t="str">
        <f t="shared" si="12"/>
        <v>Dec</v>
      </c>
      <c r="L90" t="str">
        <f t="shared" si="13"/>
        <v>Q4</v>
      </c>
      <c r="M90" t="str">
        <f t="shared" si="14"/>
        <v>Normal</v>
      </c>
    </row>
    <row r="91" spans="1:13" x14ac:dyDescent="0.3">
      <c r="A91" s="11">
        <v>1090</v>
      </c>
      <c r="B91" s="8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3">
        <v>3200</v>
      </c>
      <c r="I91">
        <f t="shared" si="10"/>
        <v>25600</v>
      </c>
      <c r="J91">
        <f t="shared" si="11"/>
        <v>5120</v>
      </c>
      <c r="K91" t="str">
        <f t="shared" si="12"/>
        <v>Nov</v>
      </c>
      <c r="L91" t="str">
        <f t="shared" si="13"/>
        <v>Q4</v>
      </c>
      <c r="M91" t="str">
        <f t="shared" si="14"/>
        <v>High Value</v>
      </c>
    </row>
    <row r="92" spans="1:13" x14ac:dyDescent="0.3">
      <c r="A92" s="10">
        <v>1091</v>
      </c>
      <c r="B92" s="7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2">
        <v>8500</v>
      </c>
      <c r="I92">
        <f t="shared" si="10"/>
        <v>34000</v>
      </c>
      <c r="J92">
        <f t="shared" si="11"/>
        <v>6800</v>
      </c>
      <c r="K92" t="str">
        <f t="shared" si="12"/>
        <v>Feb</v>
      </c>
      <c r="L92" t="str">
        <f t="shared" si="13"/>
        <v>Q1</v>
      </c>
      <c r="M92" t="str">
        <f t="shared" si="14"/>
        <v>High Value</v>
      </c>
    </row>
    <row r="93" spans="1:13" x14ac:dyDescent="0.3">
      <c r="A93" s="11">
        <v>1092</v>
      </c>
      <c r="B93" s="8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3">
        <v>1400</v>
      </c>
      <c r="I93">
        <f t="shared" si="10"/>
        <v>2800</v>
      </c>
      <c r="J93">
        <f t="shared" si="11"/>
        <v>560</v>
      </c>
      <c r="K93" t="str">
        <f t="shared" si="12"/>
        <v>Dec</v>
      </c>
      <c r="L93" t="str">
        <f t="shared" si="13"/>
        <v>Q4</v>
      </c>
      <c r="M93" t="str">
        <f t="shared" si="14"/>
        <v>Normal</v>
      </c>
    </row>
    <row r="94" spans="1:13" x14ac:dyDescent="0.3">
      <c r="A94" s="10">
        <v>1093</v>
      </c>
      <c r="B94" s="7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2">
        <v>2800</v>
      </c>
      <c r="I94">
        <f t="shared" si="10"/>
        <v>14000</v>
      </c>
      <c r="J94">
        <f t="shared" si="11"/>
        <v>2800</v>
      </c>
      <c r="K94" t="str">
        <f t="shared" si="12"/>
        <v>Dec</v>
      </c>
      <c r="L94" t="str">
        <f t="shared" si="13"/>
        <v>Q4</v>
      </c>
      <c r="M94" t="str">
        <f t="shared" si="14"/>
        <v>High Value</v>
      </c>
    </row>
    <row r="95" spans="1:13" x14ac:dyDescent="0.3">
      <c r="A95" s="11">
        <v>1094</v>
      </c>
      <c r="B95" s="8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3">
        <v>7500</v>
      </c>
      <c r="I95">
        <f t="shared" si="10"/>
        <v>105000</v>
      </c>
      <c r="J95">
        <f t="shared" si="11"/>
        <v>21000</v>
      </c>
      <c r="K95" t="str">
        <f t="shared" si="12"/>
        <v>Mar</v>
      </c>
      <c r="L95" t="str">
        <f t="shared" si="13"/>
        <v>Q1</v>
      </c>
      <c r="M95" t="str">
        <f t="shared" si="14"/>
        <v>High Value</v>
      </c>
    </row>
    <row r="96" spans="1:13" x14ac:dyDescent="0.3">
      <c r="A96" s="10">
        <v>1095</v>
      </c>
      <c r="B96" s="7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2">
        <v>8500</v>
      </c>
      <c r="I96">
        <f t="shared" si="10"/>
        <v>76500</v>
      </c>
      <c r="J96">
        <f t="shared" si="11"/>
        <v>15300</v>
      </c>
      <c r="K96" t="str">
        <f t="shared" si="12"/>
        <v>Feb</v>
      </c>
      <c r="L96" t="str">
        <f t="shared" si="13"/>
        <v>Q1</v>
      </c>
      <c r="M96" t="str">
        <f t="shared" si="14"/>
        <v>High Value</v>
      </c>
    </row>
    <row r="97" spans="1:13" x14ac:dyDescent="0.3">
      <c r="A97" s="11">
        <v>1096</v>
      </c>
      <c r="B97" s="8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3">
        <v>1800</v>
      </c>
      <c r="I97">
        <f t="shared" si="10"/>
        <v>10800</v>
      </c>
      <c r="J97">
        <f t="shared" si="11"/>
        <v>2160</v>
      </c>
      <c r="K97" t="str">
        <f t="shared" si="12"/>
        <v>Apr</v>
      </c>
      <c r="L97" t="str">
        <f t="shared" si="13"/>
        <v>Q2</v>
      </c>
      <c r="M97" t="str">
        <f t="shared" si="14"/>
        <v>High Value</v>
      </c>
    </row>
    <row r="98" spans="1:13" x14ac:dyDescent="0.3">
      <c r="A98" s="10">
        <v>1097</v>
      </c>
      <c r="B98" s="7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2">
        <v>3200</v>
      </c>
      <c r="I98">
        <f t="shared" ref="I98:I129" si="15">G98*H98</f>
        <v>28800</v>
      </c>
      <c r="J98">
        <f t="shared" ref="J98:J129" si="16">I98*20%</f>
        <v>5760</v>
      </c>
      <c r="K98" t="str">
        <f t="shared" ref="K98:K129" si="17">TEXT(B98,"MMM")</f>
        <v>Aug</v>
      </c>
      <c r="L98" t="str">
        <f t="shared" ref="L98:L129" si="18">IF(MONTH(B98)&lt;=3,"Q1",IF(MONTH(B98)&lt;=6,"Q2",IF(MONTH(B98)&lt;=9,"Q3","Q4")))</f>
        <v>Q3</v>
      </c>
      <c r="M98" t="str">
        <f t="shared" ref="M98:M129" si="19">IF(I98&gt;10000,"High Value","Normal")</f>
        <v>High Value</v>
      </c>
    </row>
    <row r="99" spans="1:13" x14ac:dyDescent="0.3">
      <c r="A99" s="11">
        <v>1098</v>
      </c>
      <c r="B99" s="8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3">
        <v>3200</v>
      </c>
      <c r="I99">
        <f t="shared" si="15"/>
        <v>25600</v>
      </c>
      <c r="J99">
        <f t="shared" si="16"/>
        <v>5120</v>
      </c>
      <c r="K99" t="str">
        <f t="shared" si="17"/>
        <v>Jun</v>
      </c>
      <c r="L99" t="str">
        <f t="shared" si="18"/>
        <v>Q2</v>
      </c>
      <c r="M99" t="str">
        <f t="shared" si="19"/>
        <v>High Value</v>
      </c>
    </row>
    <row r="100" spans="1:13" x14ac:dyDescent="0.3">
      <c r="A100" s="11">
        <v>1099</v>
      </c>
      <c r="B100" s="8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3">
        <v>2500</v>
      </c>
      <c r="I100">
        <f t="shared" si="15"/>
        <v>20000</v>
      </c>
      <c r="J100">
        <f t="shared" si="16"/>
        <v>4000</v>
      </c>
      <c r="K100" t="str">
        <f t="shared" si="17"/>
        <v>Aug</v>
      </c>
      <c r="L100" t="str">
        <f t="shared" si="18"/>
        <v>Q3</v>
      </c>
      <c r="M100" t="str">
        <f t="shared" si="19"/>
        <v>High Value</v>
      </c>
    </row>
    <row r="101" spans="1:13" x14ac:dyDescent="0.3">
      <c r="A101" s="10">
        <v>1100</v>
      </c>
      <c r="B101" s="7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2">
        <v>8500</v>
      </c>
      <c r="I101">
        <f t="shared" si="15"/>
        <v>76500</v>
      </c>
      <c r="J101">
        <f t="shared" si="16"/>
        <v>15300</v>
      </c>
      <c r="K101" t="str">
        <f t="shared" si="17"/>
        <v>May</v>
      </c>
      <c r="L101" t="str">
        <f t="shared" si="18"/>
        <v>Q2</v>
      </c>
      <c r="M101" t="str">
        <f t="shared" si="19"/>
        <v>High Value</v>
      </c>
    </row>
    <row r="102" spans="1:13" x14ac:dyDescent="0.3">
      <c r="A102" s="11">
        <v>1101</v>
      </c>
      <c r="B102" s="8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3">
        <v>2800</v>
      </c>
      <c r="I102">
        <f t="shared" si="15"/>
        <v>42000</v>
      </c>
      <c r="J102">
        <f t="shared" si="16"/>
        <v>8400</v>
      </c>
      <c r="K102" t="str">
        <f t="shared" si="17"/>
        <v>Sep</v>
      </c>
      <c r="L102" t="str">
        <f t="shared" si="18"/>
        <v>Q3</v>
      </c>
      <c r="M102" t="str">
        <f t="shared" si="19"/>
        <v>High Value</v>
      </c>
    </row>
    <row r="103" spans="1:13" x14ac:dyDescent="0.3">
      <c r="A103" s="10">
        <v>1102</v>
      </c>
      <c r="B103" s="7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2">
        <v>3200</v>
      </c>
      <c r="I103">
        <f t="shared" si="15"/>
        <v>16000</v>
      </c>
      <c r="J103">
        <f t="shared" si="16"/>
        <v>3200</v>
      </c>
      <c r="K103" t="str">
        <f t="shared" si="17"/>
        <v>Oct</v>
      </c>
      <c r="L103" t="str">
        <f t="shared" si="18"/>
        <v>Q4</v>
      </c>
      <c r="M103" t="str">
        <f t="shared" si="19"/>
        <v>High Value</v>
      </c>
    </row>
    <row r="104" spans="1:13" x14ac:dyDescent="0.3">
      <c r="A104" s="11">
        <v>1103</v>
      </c>
      <c r="B104" s="8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3">
        <v>650</v>
      </c>
      <c r="I104">
        <f t="shared" si="15"/>
        <v>3900</v>
      </c>
      <c r="J104">
        <f t="shared" si="16"/>
        <v>780</v>
      </c>
      <c r="K104" t="str">
        <f t="shared" si="17"/>
        <v>Sep</v>
      </c>
      <c r="L104" t="str">
        <f t="shared" si="18"/>
        <v>Q3</v>
      </c>
      <c r="M104" t="str">
        <f t="shared" si="19"/>
        <v>Normal</v>
      </c>
    </row>
    <row r="105" spans="1:13" x14ac:dyDescent="0.3">
      <c r="A105" s="10">
        <v>1104</v>
      </c>
      <c r="B105" s="7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2">
        <v>650</v>
      </c>
      <c r="I105">
        <f t="shared" si="15"/>
        <v>1300</v>
      </c>
      <c r="J105">
        <f t="shared" si="16"/>
        <v>260</v>
      </c>
      <c r="K105" t="str">
        <f t="shared" si="17"/>
        <v>Jan</v>
      </c>
      <c r="L105" t="str">
        <f t="shared" si="18"/>
        <v>Q1</v>
      </c>
      <c r="M105" t="str">
        <f t="shared" si="19"/>
        <v>Normal</v>
      </c>
    </row>
    <row r="106" spans="1:13" x14ac:dyDescent="0.3">
      <c r="A106" s="11">
        <v>1105</v>
      </c>
      <c r="B106" s="8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3">
        <v>3200</v>
      </c>
      <c r="I106">
        <f t="shared" si="15"/>
        <v>44800</v>
      </c>
      <c r="J106">
        <f t="shared" si="16"/>
        <v>8960</v>
      </c>
      <c r="K106" t="str">
        <f t="shared" si="17"/>
        <v>Apr</v>
      </c>
      <c r="L106" t="str">
        <f t="shared" si="18"/>
        <v>Q2</v>
      </c>
      <c r="M106" t="str">
        <f t="shared" si="19"/>
        <v>High Value</v>
      </c>
    </row>
    <row r="107" spans="1:13" x14ac:dyDescent="0.3">
      <c r="A107" s="10">
        <v>1106</v>
      </c>
      <c r="B107" s="7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2">
        <v>1400</v>
      </c>
      <c r="I107">
        <f t="shared" si="15"/>
        <v>14000</v>
      </c>
      <c r="J107">
        <f t="shared" si="16"/>
        <v>2800</v>
      </c>
      <c r="K107" t="str">
        <f t="shared" si="17"/>
        <v>Jun</v>
      </c>
      <c r="L107" t="str">
        <f t="shared" si="18"/>
        <v>Q2</v>
      </c>
      <c r="M107" t="str">
        <f t="shared" si="19"/>
        <v>High Value</v>
      </c>
    </row>
    <row r="108" spans="1:13" x14ac:dyDescent="0.3">
      <c r="A108" s="11">
        <v>1107</v>
      </c>
      <c r="B108" s="8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3">
        <v>1200</v>
      </c>
      <c r="I108">
        <f t="shared" si="15"/>
        <v>16800</v>
      </c>
      <c r="J108">
        <f t="shared" si="16"/>
        <v>3360</v>
      </c>
      <c r="K108" t="str">
        <f t="shared" si="17"/>
        <v>Mar</v>
      </c>
      <c r="L108" t="str">
        <f t="shared" si="18"/>
        <v>Q1</v>
      </c>
      <c r="M108" t="str">
        <f t="shared" si="19"/>
        <v>High Value</v>
      </c>
    </row>
    <row r="109" spans="1:13" x14ac:dyDescent="0.3">
      <c r="A109" s="10">
        <v>1108</v>
      </c>
      <c r="B109" s="7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2">
        <v>8500</v>
      </c>
      <c r="I109">
        <f t="shared" si="15"/>
        <v>59500</v>
      </c>
      <c r="J109">
        <f t="shared" si="16"/>
        <v>11900</v>
      </c>
      <c r="K109" t="str">
        <f t="shared" si="17"/>
        <v>May</v>
      </c>
      <c r="L109" t="str">
        <f t="shared" si="18"/>
        <v>Q2</v>
      </c>
      <c r="M109" t="str">
        <f t="shared" si="19"/>
        <v>High Value</v>
      </c>
    </row>
    <row r="110" spans="1:13" x14ac:dyDescent="0.3">
      <c r="A110" s="11">
        <v>1109</v>
      </c>
      <c r="B110" s="8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3">
        <v>2800</v>
      </c>
      <c r="I110">
        <f t="shared" si="15"/>
        <v>25200</v>
      </c>
      <c r="J110">
        <f t="shared" si="16"/>
        <v>5040</v>
      </c>
      <c r="K110" t="str">
        <f t="shared" si="17"/>
        <v>Aug</v>
      </c>
      <c r="L110" t="str">
        <f t="shared" si="18"/>
        <v>Q3</v>
      </c>
      <c r="M110" t="str">
        <f t="shared" si="19"/>
        <v>High Value</v>
      </c>
    </row>
    <row r="111" spans="1:13" x14ac:dyDescent="0.3">
      <c r="A111" s="10">
        <v>1110</v>
      </c>
      <c r="B111" s="7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2">
        <v>650</v>
      </c>
      <c r="I111">
        <f t="shared" si="15"/>
        <v>5850</v>
      </c>
      <c r="J111">
        <f t="shared" si="16"/>
        <v>1170</v>
      </c>
      <c r="K111" t="str">
        <f t="shared" si="17"/>
        <v>Feb</v>
      </c>
      <c r="L111" t="str">
        <f t="shared" si="18"/>
        <v>Q1</v>
      </c>
      <c r="M111" t="str">
        <f t="shared" si="19"/>
        <v>Normal</v>
      </c>
    </row>
    <row r="112" spans="1:13" x14ac:dyDescent="0.3">
      <c r="A112" s="11">
        <v>1111</v>
      </c>
      <c r="B112" s="8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3">
        <v>850</v>
      </c>
      <c r="I112">
        <f t="shared" si="15"/>
        <v>2550</v>
      </c>
      <c r="J112">
        <f t="shared" si="16"/>
        <v>510</v>
      </c>
      <c r="K112" t="str">
        <f t="shared" si="17"/>
        <v>Jul</v>
      </c>
      <c r="L112" t="str">
        <f t="shared" si="18"/>
        <v>Q3</v>
      </c>
      <c r="M112" t="str">
        <f t="shared" si="19"/>
        <v>Normal</v>
      </c>
    </row>
    <row r="113" spans="1:13" x14ac:dyDescent="0.3">
      <c r="A113" s="10">
        <v>1112</v>
      </c>
      <c r="B113" s="7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2">
        <v>3200</v>
      </c>
      <c r="I113">
        <f t="shared" si="15"/>
        <v>44800</v>
      </c>
      <c r="J113">
        <f t="shared" si="16"/>
        <v>8960</v>
      </c>
      <c r="K113" t="str">
        <f t="shared" si="17"/>
        <v>Nov</v>
      </c>
      <c r="L113" t="str">
        <f t="shared" si="18"/>
        <v>Q4</v>
      </c>
      <c r="M113" t="str">
        <f t="shared" si="19"/>
        <v>High Value</v>
      </c>
    </row>
    <row r="114" spans="1:13" x14ac:dyDescent="0.3">
      <c r="A114" s="11">
        <v>1113</v>
      </c>
      <c r="B114" s="8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3">
        <v>1500</v>
      </c>
      <c r="I114">
        <f t="shared" si="15"/>
        <v>1500</v>
      </c>
      <c r="J114">
        <f t="shared" si="16"/>
        <v>300</v>
      </c>
      <c r="K114" t="str">
        <f t="shared" si="17"/>
        <v>Aug</v>
      </c>
      <c r="L114" t="str">
        <f t="shared" si="18"/>
        <v>Q3</v>
      </c>
      <c r="M114" t="str">
        <f t="shared" si="19"/>
        <v>Normal</v>
      </c>
    </row>
    <row r="115" spans="1:13" x14ac:dyDescent="0.3">
      <c r="A115" s="10">
        <v>1114</v>
      </c>
      <c r="B115" s="7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2">
        <v>7500</v>
      </c>
      <c r="I115">
        <f t="shared" si="15"/>
        <v>105000</v>
      </c>
      <c r="J115">
        <f t="shared" si="16"/>
        <v>21000</v>
      </c>
      <c r="K115" t="str">
        <f t="shared" si="17"/>
        <v>Jul</v>
      </c>
      <c r="L115" t="str">
        <f t="shared" si="18"/>
        <v>Q3</v>
      </c>
      <c r="M115" t="str">
        <f t="shared" si="19"/>
        <v>High Value</v>
      </c>
    </row>
    <row r="116" spans="1:13" x14ac:dyDescent="0.3">
      <c r="A116" s="11">
        <v>1115</v>
      </c>
      <c r="B116" s="8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3">
        <v>8500</v>
      </c>
      <c r="I116">
        <f t="shared" si="15"/>
        <v>119000</v>
      </c>
      <c r="J116">
        <f t="shared" si="16"/>
        <v>23800</v>
      </c>
      <c r="K116" t="str">
        <f t="shared" si="17"/>
        <v>Mar</v>
      </c>
      <c r="L116" t="str">
        <f t="shared" si="18"/>
        <v>Q1</v>
      </c>
      <c r="M116" t="str">
        <f t="shared" si="19"/>
        <v>High Value</v>
      </c>
    </row>
    <row r="117" spans="1:13" x14ac:dyDescent="0.3">
      <c r="A117" s="10">
        <v>1116</v>
      </c>
      <c r="B117" s="7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2">
        <v>2500</v>
      </c>
      <c r="I117">
        <f t="shared" si="15"/>
        <v>5000</v>
      </c>
      <c r="J117">
        <f t="shared" si="16"/>
        <v>1000</v>
      </c>
      <c r="K117" t="str">
        <f t="shared" si="17"/>
        <v>May</v>
      </c>
      <c r="L117" t="str">
        <f t="shared" si="18"/>
        <v>Q2</v>
      </c>
      <c r="M117" t="str">
        <f t="shared" si="19"/>
        <v>Normal</v>
      </c>
    </row>
    <row r="118" spans="1:13" x14ac:dyDescent="0.3">
      <c r="A118" s="11">
        <v>1117</v>
      </c>
      <c r="B118" s="8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3">
        <v>2200</v>
      </c>
      <c r="I118">
        <f t="shared" si="15"/>
        <v>22000</v>
      </c>
      <c r="J118">
        <f t="shared" si="16"/>
        <v>4400</v>
      </c>
      <c r="K118" t="str">
        <f t="shared" si="17"/>
        <v>Dec</v>
      </c>
      <c r="L118" t="str">
        <f t="shared" si="18"/>
        <v>Q4</v>
      </c>
      <c r="M118" t="str">
        <f t="shared" si="19"/>
        <v>High Value</v>
      </c>
    </row>
    <row r="119" spans="1:13" x14ac:dyDescent="0.3">
      <c r="A119" s="10">
        <v>1118</v>
      </c>
      <c r="B119" s="7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2">
        <v>1800</v>
      </c>
      <c r="I119">
        <f t="shared" si="15"/>
        <v>23400</v>
      </c>
      <c r="J119">
        <f t="shared" si="16"/>
        <v>4680</v>
      </c>
      <c r="K119" t="str">
        <f t="shared" si="17"/>
        <v>Apr</v>
      </c>
      <c r="L119" t="str">
        <f t="shared" si="18"/>
        <v>Q2</v>
      </c>
      <c r="M119" t="str">
        <f t="shared" si="19"/>
        <v>High Value</v>
      </c>
    </row>
    <row r="120" spans="1:13" x14ac:dyDescent="0.3">
      <c r="A120" s="11">
        <v>1119</v>
      </c>
      <c r="B120" s="8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3">
        <v>3200</v>
      </c>
      <c r="I120">
        <f t="shared" si="15"/>
        <v>48000</v>
      </c>
      <c r="J120">
        <f t="shared" si="16"/>
        <v>9600</v>
      </c>
      <c r="K120" t="str">
        <f t="shared" si="17"/>
        <v>Jun</v>
      </c>
      <c r="L120" t="str">
        <f t="shared" si="18"/>
        <v>Q2</v>
      </c>
      <c r="M120" t="str">
        <f t="shared" si="19"/>
        <v>High Value</v>
      </c>
    </row>
    <row r="121" spans="1:13" x14ac:dyDescent="0.3">
      <c r="A121" s="10">
        <v>1120</v>
      </c>
      <c r="B121" s="7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2">
        <v>650</v>
      </c>
      <c r="I121">
        <f t="shared" si="15"/>
        <v>7150</v>
      </c>
      <c r="J121">
        <f t="shared" si="16"/>
        <v>1430</v>
      </c>
      <c r="K121" t="str">
        <f t="shared" si="17"/>
        <v>Jan</v>
      </c>
      <c r="L121" t="str">
        <f t="shared" si="18"/>
        <v>Q1</v>
      </c>
      <c r="M121" t="str">
        <f t="shared" si="19"/>
        <v>Normal</v>
      </c>
    </row>
    <row r="122" spans="1:13" x14ac:dyDescent="0.3">
      <c r="A122" s="11">
        <v>1121</v>
      </c>
      <c r="B122" s="8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3">
        <v>3200</v>
      </c>
      <c r="I122">
        <f t="shared" si="15"/>
        <v>22400</v>
      </c>
      <c r="J122">
        <f t="shared" si="16"/>
        <v>4480</v>
      </c>
      <c r="K122" t="str">
        <f t="shared" si="17"/>
        <v>Feb</v>
      </c>
      <c r="L122" t="str">
        <f t="shared" si="18"/>
        <v>Q1</v>
      </c>
      <c r="M122" t="str">
        <f t="shared" si="19"/>
        <v>High Value</v>
      </c>
    </row>
    <row r="123" spans="1:13" x14ac:dyDescent="0.3">
      <c r="A123" s="10">
        <v>1122</v>
      </c>
      <c r="B123" s="7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2">
        <v>1200</v>
      </c>
      <c r="I123">
        <f t="shared" si="15"/>
        <v>4800</v>
      </c>
      <c r="J123">
        <f t="shared" si="16"/>
        <v>960</v>
      </c>
      <c r="K123" t="str">
        <f t="shared" si="17"/>
        <v>Sep</v>
      </c>
      <c r="L123" t="str">
        <f t="shared" si="18"/>
        <v>Q3</v>
      </c>
      <c r="M123" t="str">
        <f t="shared" si="19"/>
        <v>Normal</v>
      </c>
    </row>
    <row r="124" spans="1:13" x14ac:dyDescent="0.3">
      <c r="A124" s="11">
        <v>1123</v>
      </c>
      <c r="B124" s="8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3">
        <v>1200</v>
      </c>
      <c r="I124">
        <f t="shared" si="15"/>
        <v>2400</v>
      </c>
      <c r="J124">
        <f t="shared" si="16"/>
        <v>480</v>
      </c>
      <c r="K124" t="str">
        <f t="shared" si="17"/>
        <v>Aug</v>
      </c>
      <c r="L124" t="str">
        <f t="shared" si="18"/>
        <v>Q3</v>
      </c>
      <c r="M124" t="str">
        <f t="shared" si="19"/>
        <v>Normal</v>
      </c>
    </row>
    <row r="125" spans="1:13" x14ac:dyDescent="0.3">
      <c r="A125" s="10">
        <v>1124</v>
      </c>
      <c r="B125" s="7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2">
        <v>1800</v>
      </c>
      <c r="I125">
        <f t="shared" si="15"/>
        <v>9000</v>
      </c>
      <c r="J125">
        <f t="shared" si="16"/>
        <v>1800</v>
      </c>
      <c r="K125" t="str">
        <f t="shared" si="17"/>
        <v>Aug</v>
      </c>
      <c r="L125" t="str">
        <f t="shared" si="18"/>
        <v>Q3</v>
      </c>
      <c r="M125" t="str">
        <f t="shared" si="19"/>
        <v>Normal</v>
      </c>
    </row>
    <row r="126" spans="1:13" x14ac:dyDescent="0.3">
      <c r="A126" s="11">
        <v>1125</v>
      </c>
      <c r="B126" s="8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3">
        <v>7500</v>
      </c>
      <c r="I126">
        <f t="shared" si="15"/>
        <v>45000</v>
      </c>
      <c r="J126">
        <f t="shared" si="16"/>
        <v>9000</v>
      </c>
      <c r="K126" t="str">
        <f t="shared" si="17"/>
        <v>Jan</v>
      </c>
      <c r="L126" t="str">
        <f t="shared" si="18"/>
        <v>Q1</v>
      </c>
      <c r="M126" t="str">
        <f t="shared" si="19"/>
        <v>High Value</v>
      </c>
    </row>
    <row r="127" spans="1:13" x14ac:dyDescent="0.3">
      <c r="A127" s="10">
        <v>1126</v>
      </c>
      <c r="B127" s="7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2">
        <v>2800</v>
      </c>
      <c r="I127">
        <f t="shared" si="15"/>
        <v>25200</v>
      </c>
      <c r="J127">
        <f t="shared" si="16"/>
        <v>5040</v>
      </c>
      <c r="K127" t="str">
        <f t="shared" si="17"/>
        <v>May</v>
      </c>
      <c r="L127" t="str">
        <f t="shared" si="18"/>
        <v>Q2</v>
      </c>
      <c r="M127" t="str">
        <f t="shared" si="19"/>
        <v>High Value</v>
      </c>
    </row>
    <row r="128" spans="1:13" x14ac:dyDescent="0.3">
      <c r="A128" s="11">
        <v>1127</v>
      </c>
      <c r="B128" s="8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3">
        <v>1800</v>
      </c>
      <c r="I128">
        <f t="shared" si="15"/>
        <v>3600</v>
      </c>
      <c r="J128">
        <f t="shared" si="16"/>
        <v>720</v>
      </c>
      <c r="K128" t="str">
        <f t="shared" si="17"/>
        <v>Jul</v>
      </c>
      <c r="L128" t="str">
        <f t="shared" si="18"/>
        <v>Q3</v>
      </c>
      <c r="M128" t="str">
        <f t="shared" si="19"/>
        <v>Normal</v>
      </c>
    </row>
    <row r="129" spans="1:13" x14ac:dyDescent="0.3">
      <c r="A129" s="10">
        <v>1128</v>
      </c>
      <c r="B129" s="7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2">
        <v>2500</v>
      </c>
      <c r="I129">
        <f t="shared" si="15"/>
        <v>5000</v>
      </c>
      <c r="J129">
        <f t="shared" si="16"/>
        <v>1000</v>
      </c>
      <c r="K129" t="str">
        <f t="shared" si="17"/>
        <v>Dec</v>
      </c>
      <c r="L129" t="str">
        <f t="shared" si="18"/>
        <v>Q4</v>
      </c>
      <c r="M129" t="str">
        <f t="shared" si="19"/>
        <v>Normal</v>
      </c>
    </row>
    <row r="130" spans="1:13" x14ac:dyDescent="0.3">
      <c r="A130" s="11">
        <v>1129</v>
      </c>
      <c r="B130" s="8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3">
        <v>3200</v>
      </c>
      <c r="I130">
        <f t="shared" ref="I130:I161" si="20">G130*H130</f>
        <v>41600</v>
      </c>
      <c r="J130">
        <f t="shared" ref="J130:J161" si="21">I130*20%</f>
        <v>8320</v>
      </c>
      <c r="K130" t="str">
        <f t="shared" ref="K130:K161" si="22">TEXT(B130,"MMM")</f>
        <v>Jun</v>
      </c>
      <c r="L130" t="str">
        <f t="shared" ref="L130:L161" si="23">IF(MONTH(B130)&lt;=3,"Q1",IF(MONTH(B130)&lt;=6,"Q2",IF(MONTH(B130)&lt;=9,"Q3","Q4")))</f>
        <v>Q2</v>
      </c>
      <c r="M130" t="str">
        <f t="shared" ref="M130:M161" si="24">IF(I130&gt;10000,"High Value","Normal")</f>
        <v>High Value</v>
      </c>
    </row>
    <row r="131" spans="1:13" x14ac:dyDescent="0.3">
      <c r="A131" s="10">
        <v>1130</v>
      </c>
      <c r="B131" s="7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2">
        <v>1100</v>
      </c>
      <c r="I131">
        <f t="shared" si="20"/>
        <v>9900</v>
      </c>
      <c r="J131">
        <f t="shared" si="21"/>
        <v>1980</v>
      </c>
      <c r="K131" t="str">
        <f t="shared" si="22"/>
        <v>Jan</v>
      </c>
      <c r="L131" t="str">
        <f t="shared" si="23"/>
        <v>Q1</v>
      </c>
      <c r="M131" t="str">
        <f t="shared" si="24"/>
        <v>Normal</v>
      </c>
    </row>
    <row r="132" spans="1:13" x14ac:dyDescent="0.3">
      <c r="A132" s="11">
        <v>1131</v>
      </c>
      <c r="B132" s="8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3">
        <v>3200</v>
      </c>
      <c r="I132">
        <f t="shared" si="20"/>
        <v>48000</v>
      </c>
      <c r="J132">
        <f t="shared" si="21"/>
        <v>9600</v>
      </c>
      <c r="K132" t="str">
        <f t="shared" si="22"/>
        <v>Jun</v>
      </c>
      <c r="L132" t="str">
        <f t="shared" si="23"/>
        <v>Q2</v>
      </c>
      <c r="M132" t="str">
        <f t="shared" si="24"/>
        <v>High Value</v>
      </c>
    </row>
    <row r="133" spans="1:13" x14ac:dyDescent="0.3">
      <c r="A133" s="10">
        <v>1132</v>
      </c>
      <c r="B133" s="7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2">
        <v>1500</v>
      </c>
      <c r="I133">
        <f t="shared" si="20"/>
        <v>16500</v>
      </c>
      <c r="J133">
        <f t="shared" si="21"/>
        <v>3300</v>
      </c>
      <c r="K133" t="str">
        <f t="shared" si="22"/>
        <v>Feb</v>
      </c>
      <c r="L133" t="str">
        <f t="shared" si="23"/>
        <v>Q1</v>
      </c>
      <c r="M133" t="str">
        <f t="shared" si="24"/>
        <v>High Value</v>
      </c>
    </row>
    <row r="134" spans="1:13" x14ac:dyDescent="0.3">
      <c r="A134" s="11">
        <v>1133</v>
      </c>
      <c r="B134" s="8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3">
        <v>1800</v>
      </c>
      <c r="I134">
        <f t="shared" si="20"/>
        <v>25200</v>
      </c>
      <c r="J134">
        <f t="shared" si="21"/>
        <v>5040</v>
      </c>
      <c r="K134" t="str">
        <f t="shared" si="22"/>
        <v>Dec</v>
      </c>
      <c r="L134" t="str">
        <f t="shared" si="23"/>
        <v>Q4</v>
      </c>
      <c r="M134" t="str">
        <f t="shared" si="24"/>
        <v>High Value</v>
      </c>
    </row>
    <row r="135" spans="1:13" x14ac:dyDescent="0.3">
      <c r="A135" s="10">
        <v>1134</v>
      </c>
      <c r="B135" s="7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2">
        <v>850</v>
      </c>
      <c r="I135">
        <f t="shared" si="20"/>
        <v>12750</v>
      </c>
      <c r="J135">
        <f t="shared" si="21"/>
        <v>2550</v>
      </c>
      <c r="K135" t="str">
        <f t="shared" si="22"/>
        <v>Nov</v>
      </c>
      <c r="L135" t="str">
        <f t="shared" si="23"/>
        <v>Q4</v>
      </c>
      <c r="M135" t="str">
        <f t="shared" si="24"/>
        <v>High Value</v>
      </c>
    </row>
    <row r="136" spans="1:13" x14ac:dyDescent="0.3">
      <c r="A136" s="11">
        <v>1135</v>
      </c>
      <c r="B136" s="8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3">
        <v>950</v>
      </c>
      <c r="I136">
        <f t="shared" si="20"/>
        <v>7600</v>
      </c>
      <c r="J136">
        <f t="shared" si="21"/>
        <v>1520</v>
      </c>
      <c r="K136" t="str">
        <f t="shared" si="22"/>
        <v>Nov</v>
      </c>
      <c r="L136" t="str">
        <f t="shared" si="23"/>
        <v>Q4</v>
      </c>
      <c r="M136" t="str">
        <f t="shared" si="24"/>
        <v>Normal</v>
      </c>
    </row>
    <row r="137" spans="1:13" x14ac:dyDescent="0.3">
      <c r="A137" s="10">
        <v>1136</v>
      </c>
      <c r="B137" s="7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2">
        <v>1400</v>
      </c>
      <c r="I137">
        <f t="shared" si="20"/>
        <v>16800</v>
      </c>
      <c r="J137">
        <f t="shared" si="21"/>
        <v>3360</v>
      </c>
      <c r="K137" t="str">
        <f t="shared" si="22"/>
        <v>Aug</v>
      </c>
      <c r="L137" t="str">
        <f t="shared" si="23"/>
        <v>Q3</v>
      </c>
      <c r="M137" t="str">
        <f t="shared" si="24"/>
        <v>High Value</v>
      </c>
    </row>
    <row r="138" spans="1:13" x14ac:dyDescent="0.3">
      <c r="A138" s="11">
        <v>1137</v>
      </c>
      <c r="B138" s="8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3">
        <v>3200</v>
      </c>
      <c r="I138">
        <f t="shared" si="20"/>
        <v>19200</v>
      </c>
      <c r="J138">
        <f t="shared" si="21"/>
        <v>3840</v>
      </c>
      <c r="K138" t="str">
        <f t="shared" si="22"/>
        <v>Dec</v>
      </c>
      <c r="L138" t="str">
        <f t="shared" si="23"/>
        <v>Q4</v>
      </c>
      <c r="M138" t="str">
        <f t="shared" si="24"/>
        <v>High Value</v>
      </c>
    </row>
    <row r="139" spans="1:13" x14ac:dyDescent="0.3">
      <c r="A139" s="10">
        <v>1138</v>
      </c>
      <c r="B139" s="7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2">
        <v>1200</v>
      </c>
      <c r="I139">
        <f t="shared" si="20"/>
        <v>10800</v>
      </c>
      <c r="J139">
        <f t="shared" si="21"/>
        <v>2160</v>
      </c>
      <c r="K139" t="str">
        <f t="shared" si="22"/>
        <v>Jul</v>
      </c>
      <c r="L139" t="str">
        <f t="shared" si="23"/>
        <v>Q3</v>
      </c>
      <c r="M139" t="str">
        <f t="shared" si="24"/>
        <v>High Value</v>
      </c>
    </row>
    <row r="140" spans="1:13" x14ac:dyDescent="0.3">
      <c r="A140" s="11">
        <v>1139</v>
      </c>
      <c r="B140" s="8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3">
        <v>650</v>
      </c>
      <c r="I140">
        <f t="shared" si="20"/>
        <v>1950</v>
      </c>
      <c r="J140">
        <f t="shared" si="21"/>
        <v>390</v>
      </c>
      <c r="K140" t="str">
        <f t="shared" si="22"/>
        <v>May</v>
      </c>
      <c r="L140" t="str">
        <f t="shared" si="23"/>
        <v>Q2</v>
      </c>
      <c r="M140" t="str">
        <f t="shared" si="24"/>
        <v>Normal</v>
      </c>
    </row>
    <row r="141" spans="1:13" x14ac:dyDescent="0.3">
      <c r="A141" s="10">
        <v>1140</v>
      </c>
      <c r="B141" s="7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2">
        <v>1400</v>
      </c>
      <c r="I141">
        <f t="shared" si="20"/>
        <v>7000</v>
      </c>
      <c r="J141">
        <f t="shared" si="21"/>
        <v>1400</v>
      </c>
      <c r="K141" t="str">
        <f t="shared" si="22"/>
        <v>Oct</v>
      </c>
      <c r="L141" t="str">
        <f t="shared" si="23"/>
        <v>Q4</v>
      </c>
      <c r="M141" t="str">
        <f t="shared" si="24"/>
        <v>Normal</v>
      </c>
    </row>
    <row r="142" spans="1:13" x14ac:dyDescent="0.3">
      <c r="A142" s="11">
        <v>1141</v>
      </c>
      <c r="B142" s="8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3">
        <v>7500</v>
      </c>
      <c r="I142">
        <f t="shared" si="20"/>
        <v>105000</v>
      </c>
      <c r="J142">
        <f t="shared" si="21"/>
        <v>21000</v>
      </c>
      <c r="K142" t="str">
        <f t="shared" si="22"/>
        <v>May</v>
      </c>
      <c r="L142" t="str">
        <f t="shared" si="23"/>
        <v>Q2</v>
      </c>
      <c r="M142" t="str">
        <f t="shared" si="24"/>
        <v>High Value</v>
      </c>
    </row>
    <row r="143" spans="1:13" x14ac:dyDescent="0.3">
      <c r="A143" s="10">
        <v>1142</v>
      </c>
      <c r="B143" s="7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2">
        <v>950</v>
      </c>
      <c r="I143">
        <f t="shared" si="20"/>
        <v>1900</v>
      </c>
      <c r="J143">
        <f t="shared" si="21"/>
        <v>380</v>
      </c>
      <c r="K143" t="str">
        <f t="shared" si="22"/>
        <v>Apr</v>
      </c>
      <c r="L143" t="str">
        <f t="shared" si="23"/>
        <v>Q2</v>
      </c>
      <c r="M143" t="str">
        <f t="shared" si="24"/>
        <v>Normal</v>
      </c>
    </row>
    <row r="144" spans="1:13" x14ac:dyDescent="0.3">
      <c r="A144" s="11">
        <v>1143</v>
      </c>
      <c r="B144" s="8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3">
        <v>1200</v>
      </c>
      <c r="I144">
        <f t="shared" si="20"/>
        <v>8400</v>
      </c>
      <c r="J144">
        <f t="shared" si="21"/>
        <v>1680</v>
      </c>
      <c r="K144" t="str">
        <f t="shared" si="22"/>
        <v>Jun</v>
      </c>
      <c r="L144" t="str">
        <f t="shared" si="23"/>
        <v>Q2</v>
      </c>
      <c r="M144" t="str">
        <f t="shared" si="24"/>
        <v>Normal</v>
      </c>
    </row>
    <row r="145" spans="1:13" x14ac:dyDescent="0.3">
      <c r="A145" s="10">
        <v>1144</v>
      </c>
      <c r="B145" s="7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2">
        <v>2500</v>
      </c>
      <c r="I145">
        <f t="shared" si="20"/>
        <v>25000</v>
      </c>
      <c r="J145">
        <f t="shared" si="21"/>
        <v>5000</v>
      </c>
      <c r="K145" t="str">
        <f t="shared" si="22"/>
        <v>Sep</v>
      </c>
      <c r="L145" t="str">
        <f t="shared" si="23"/>
        <v>Q3</v>
      </c>
      <c r="M145" t="str">
        <f t="shared" si="24"/>
        <v>High Value</v>
      </c>
    </row>
    <row r="146" spans="1:13" x14ac:dyDescent="0.3">
      <c r="A146" s="11">
        <v>1145</v>
      </c>
      <c r="B146" s="8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3">
        <v>2800</v>
      </c>
      <c r="I146">
        <f t="shared" si="20"/>
        <v>14000</v>
      </c>
      <c r="J146">
        <f t="shared" si="21"/>
        <v>2800</v>
      </c>
      <c r="K146" t="str">
        <f t="shared" si="22"/>
        <v>Apr</v>
      </c>
      <c r="L146" t="str">
        <f t="shared" si="23"/>
        <v>Q2</v>
      </c>
      <c r="M146" t="str">
        <f t="shared" si="24"/>
        <v>High Value</v>
      </c>
    </row>
    <row r="147" spans="1:13" x14ac:dyDescent="0.3">
      <c r="A147" s="10">
        <v>1146</v>
      </c>
      <c r="B147" s="7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2">
        <v>3200</v>
      </c>
      <c r="I147">
        <f t="shared" si="20"/>
        <v>41600</v>
      </c>
      <c r="J147">
        <f t="shared" si="21"/>
        <v>8320</v>
      </c>
      <c r="K147" t="str">
        <f t="shared" si="22"/>
        <v>Apr</v>
      </c>
      <c r="L147" t="str">
        <f t="shared" si="23"/>
        <v>Q2</v>
      </c>
      <c r="M147" t="str">
        <f t="shared" si="24"/>
        <v>High Value</v>
      </c>
    </row>
    <row r="148" spans="1:13" x14ac:dyDescent="0.3">
      <c r="A148" s="11">
        <v>1147</v>
      </c>
      <c r="B148" s="8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3">
        <v>3200</v>
      </c>
      <c r="I148">
        <f t="shared" si="20"/>
        <v>44800</v>
      </c>
      <c r="J148">
        <f t="shared" si="21"/>
        <v>8960</v>
      </c>
      <c r="K148" t="str">
        <f t="shared" si="22"/>
        <v>Sep</v>
      </c>
      <c r="L148" t="str">
        <f t="shared" si="23"/>
        <v>Q3</v>
      </c>
      <c r="M148" t="str">
        <f t="shared" si="24"/>
        <v>High Value</v>
      </c>
    </row>
    <row r="149" spans="1:13" x14ac:dyDescent="0.3">
      <c r="A149" s="10">
        <v>1148</v>
      </c>
      <c r="B149" s="7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2">
        <v>1500</v>
      </c>
      <c r="I149">
        <f t="shared" si="20"/>
        <v>7500</v>
      </c>
      <c r="J149">
        <f t="shared" si="21"/>
        <v>1500</v>
      </c>
      <c r="K149" t="str">
        <f t="shared" si="22"/>
        <v>Aug</v>
      </c>
      <c r="L149" t="str">
        <f t="shared" si="23"/>
        <v>Q3</v>
      </c>
      <c r="M149" t="str">
        <f t="shared" si="24"/>
        <v>Normal</v>
      </c>
    </row>
    <row r="150" spans="1:13" x14ac:dyDescent="0.3">
      <c r="A150" s="11">
        <v>1149</v>
      </c>
      <c r="B150" s="8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3">
        <v>950</v>
      </c>
      <c r="I150">
        <f t="shared" si="20"/>
        <v>1900</v>
      </c>
      <c r="J150">
        <f t="shared" si="21"/>
        <v>380</v>
      </c>
      <c r="K150" t="str">
        <f t="shared" si="22"/>
        <v>Jan</v>
      </c>
      <c r="L150" t="str">
        <f t="shared" si="23"/>
        <v>Q1</v>
      </c>
      <c r="M150" t="str">
        <f t="shared" si="24"/>
        <v>Normal</v>
      </c>
    </row>
    <row r="151" spans="1:13" x14ac:dyDescent="0.3">
      <c r="A151" s="10">
        <v>1150</v>
      </c>
      <c r="B151" s="7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2">
        <v>7500</v>
      </c>
      <c r="I151">
        <f t="shared" si="20"/>
        <v>112500</v>
      </c>
      <c r="J151">
        <f t="shared" si="21"/>
        <v>22500</v>
      </c>
      <c r="K151" t="str">
        <f t="shared" si="22"/>
        <v>Nov</v>
      </c>
      <c r="L151" t="str">
        <f t="shared" si="23"/>
        <v>Q4</v>
      </c>
      <c r="M151" t="str">
        <f t="shared" si="24"/>
        <v>High Value</v>
      </c>
    </row>
    <row r="152" spans="1:13" x14ac:dyDescent="0.3">
      <c r="A152" s="11">
        <v>1151</v>
      </c>
      <c r="B152" s="8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3">
        <v>1500</v>
      </c>
      <c r="I152">
        <f t="shared" si="20"/>
        <v>10500</v>
      </c>
      <c r="J152">
        <f t="shared" si="21"/>
        <v>2100</v>
      </c>
      <c r="K152" t="str">
        <f t="shared" si="22"/>
        <v>Sep</v>
      </c>
      <c r="L152" t="str">
        <f t="shared" si="23"/>
        <v>Q3</v>
      </c>
      <c r="M152" t="str">
        <f t="shared" si="24"/>
        <v>High Value</v>
      </c>
    </row>
    <row r="153" spans="1:13" x14ac:dyDescent="0.3">
      <c r="A153" s="10">
        <v>1152</v>
      </c>
      <c r="B153" s="7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2">
        <v>1800</v>
      </c>
      <c r="I153">
        <f t="shared" si="20"/>
        <v>25200</v>
      </c>
      <c r="J153">
        <f t="shared" si="21"/>
        <v>5040</v>
      </c>
      <c r="K153" t="str">
        <f t="shared" si="22"/>
        <v>Nov</v>
      </c>
      <c r="L153" t="str">
        <f t="shared" si="23"/>
        <v>Q4</v>
      </c>
      <c r="M153" t="str">
        <f t="shared" si="24"/>
        <v>High Value</v>
      </c>
    </row>
    <row r="154" spans="1:13" x14ac:dyDescent="0.3">
      <c r="A154" s="11">
        <v>1153</v>
      </c>
      <c r="B154" s="8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3">
        <v>2200</v>
      </c>
      <c r="I154">
        <f t="shared" si="20"/>
        <v>4400</v>
      </c>
      <c r="J154">
        <f t="shared" si="21"/>
        <v>880</v>
      </c>
      <c r="K154" t="str">
        <f t="shared" si="22"/>
        <v>May</v>
      </c>
      <c r="L154" t="str">
        <f t="shared" si="23"/>
        <v>Q2</v>
      </c>
      <c r="M154" t="str">
        <f t="shared" si="24"/>
        <v>Normal</v>
      </c>
    </row>
    <row r="155" spans="1:13" x14ac:dyDescent="0.3">
      <c r="A155" s="10">
        <v>1154</v>
      </c>
      <c r="B155" s="7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2">
        <v>950</v>
      </c>
      <c r="I155">
        <f t="shared" si="20"/>
        <v>9500</v>
      </c>
      <c r="J155">
        <f t="shared" si="21"/>
        <v>1900</v>
      </c>
      <c r="K155" t="str">
        <f t="shared" si="22"/>
        <v>Jan</v>
      </c>
      <c r="L155" t="str">
        <f t="shared" si="23"/>
        <v>Q1</v>
      </c>
      <c r="M155" t="str">
        <f t="shared" si="24"/>
        <v>Normal</v>
      </c>
    </row>
    <row r="156" spans="1:13" x14ac:dyDescent="0.3">
      <c r="A156" s="11">
        <v>1155</v>
      </c>
      <c r="B156" s="8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3">
        <v>3200</v>
      </c>
      <c r="I156">
        <f t="shared" si="20"/>
        <v>32000</v>
      </c>
      <c r="J156">
        <f t="shared" si="21"/>
        <v>6400</v>
      </c>
      <c r="K156" t="str">
        <f t="shared" si="22"/>
        <v>Jun</v>
      </c>
      <c r="L156" t="str">
        <f t="shared" si="23"/>
        <v>Q2</v>
      </c>
      <c r="M156" t="str">
        <f t="shared" si="24"/>
        <v>High Value</v>
      </c>
    </row>
    <row r="157" spans="1:13" x14ac:dyDescent="0.3">
      <c r="A157" s="10">
        <v>1156</v>
      </c>
      <c r="B157" s="7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2">
        <v>850</v>
      </c>
      <c r="I157">
        <f t="shared" si="20"/>
        <v>9350</v>
      </c>
      <c r="J157">
        <f t="shared" si="21"/>
        <v>1870</v>
      </c>
      <c r="K157" t="str">
        <f t="shared" si="22"/>
        <v>Aug</v>
      </c>
      <c r="L157" t="str">
        <f t="shared" si="23"/>
        <v>Q3</v>
      </c>
      <c r="M157" t="str">
        <f t="shared" si="24"/>
        <v>Normal</v>
      </c>
    </row>
    <row r="158" spans="1:13" x14ac:dyDescent="0.3">
      <c r="A158" s="11">
        <v>1157</v>
      </c>
      <c r="B158" s="8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3">
        <v>1500</v>
      </c>
      <c r="I158">
        <f t="shared" si="20"/>
        <v>22500</v>
      </c>
      <c r="J158">
        <f t="shared" si="21"/>
        <v>4500</v>
      </c>
      <c r="K158" t="str">
        <f t="shared" si="22"/>
        <v>Feb</v>
      </c>
      <c r="L158" t="str">
        <f t="shared" si="23"/>
        <v>Q1</v>
      </c>
      <c r="M158" t="str">
        <f t="shared" si="24"/>
        <v>High Value</v>
      </c>
    </row>
    <row r="159" spans="1:13" x14ac:dyDescent="0.3">
      <c r="A159" s="10">
        <v>1158</v>
      </c>
      <c r="B159" s="7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2">
        <v>2200</v>
      </c>
      <c r="I159">
        <f t="shared" si="20"/>
        <v>6600</v>
      </c>
      <c r="J159">
        <f t="shared" si="21"/>
        <v>1320</v>
      </c>
      <c r="K159" t="str">
        <f t="shared" si="22"/>
        <v>Dec</v>
      </c>
      <c r="L159" t="str">
        <f t="shared" si="23"/>
        <v>Q4</v>
      </c>
      <c r="M159" t="str">
        <f t="shared" si="24"/>
        <v>Normal</v>
      </c>
    </row>
    <row r="160" spans="1:13" x14ac:dyDescent="0.3">
      <c r="A160" s="11">
        <v>1159</v>
      </c>
      <c r="B160" s="8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3">
        <v>650</v>
      </c>
      <c r="I160">
        <f t="shared" si="20"/>
        <v>3900</v>
      </c>
      <c r="J160">
        <f t="shared" si="21"/>
        <v>780</v>
      </c>
      <c r="K160" t="str">
        <f t="shared" si="22"/>
        <v>Feb</v>
      </c>
      <c r="L160" t="str">
        <f t="shared" si="23"/>
        <v>Q1</v>
      </c>
      <c r="M160" t="str">
        <f t="shared" si="24"/>
        <v>Normal</v>
      </c>
    </row>
    <row r="161" spans="1:13" x14ac:dyDescent="0.3">
      <c r="A161" s="10">
        <v>1160</v>
      </c>
      <c r="B161" s="7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2">
        <v>3200</v>
      </c>
      <c r="I161">
        <f t="shared" si="20"/>
        <v>44800</v>
      </c>
      <c r="J161">
        <f t="shared" si="21"/>
        <v>8960</v>
      </c>
      <c r="K161" t="str">
        <f t="shared" si="22"/>
        <v>Jun</v>
      </c>
      <c r="L161" t="str">
        <f t="shared" si="23"/>
        <v>Q2</v>
      </c>
      <c r="M161" t="str">
        <f t="shared" si="24"/>
        <v>High Value</v>
      </c>
    </row>
    <row r="162" spans="1:13" x14ac:dyDescent="0.3">
      <c r="A162" s="11">
        <v>1161</v>
      </c>
      <c r="B162" s="8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3">
        <v>8500</v>
      </c>
      <c r="I162">
        <f t="shared" ref="I162:I181" si="25">G162*H162</f>
        <v>51000</v>
      </c>
      <c r="J162">
        <f t="shared" ref="J162:J181" si="26">I162*20%</f>
        <v>10200</v>
      </c>
      <c r="K162" t="str">
        <f t="shared" ref="K162:K181" si="27">TEXT(B162,"MMM")</f>
        <v>May</v>
      </c>
      <c r="L162" t="str">
        <f t="shared" ref="L162:L181" si="28">IF(MONTH(B162)&lt;=3,"Q1",IF(MONTH(B162)&lt;=6,"Q2",IF(MONTH(B162)&lt;=9,"Q3","Q4")))</f>
        <v>Q2</v>
      </c>
      <c r="M162" t="str">
        <f t="shared" ref="M162:M181" si="29">IF(I162&gt;10000,"High Value","Normal")</f>
        <v>High Value</v>
      </c>
    </row>
    <row r="163" spans="1:13" x14ac:dyDescent="0.3">
      <c r="A163" s="10">
        <v>1162</v>
      </c>
      <c r="B163" s="7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2">
        <v>950</v>
      </c>
      <c r="I163">
        <f t="shared" si="25"/>
        <v>5700</v>
      </c>
      <c r="J163">
        <f t="shared" si="26"/>
        <v>1140</v>
      </c>
      <c r="K163" t="str">
        <f t="shared" si="27"/>
        <v>Sep</v>
      </c>
      <c r="L163" t="str">
        <f t="shared" si="28"/>
        <v>Q3</v>
      </c>
      <c r="M163" t="str">
        <f t="shared" si="29"/>
        <v>Normal</v>
      </c>
    </row>
    <row r="164" spans="1:13" x14ac:dyDescent="0.3">
      <c r="A164" s="11">
        <v>1163</v>
      </c>
      <c r="B164" s="8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3">
        <v>1400</v>
      </c>
      <c r="I164">
        <f t="shared" si="25"/>
        <v>16800</v>
      </c>
      <c r="J164">
        <f t="shared" si="26"/>
        <v>3360</v>
      </c>
      <c r="K164" t="str">
        <f t="shared" si="27"/>
        <v>May</v>
      </c>
      <c r="L164" t="str">
        <f t="shared" si="28"/>
        <v>Q2</v>
      </c>
      <c r="M164" t="str">
        <f t="shared" si="29"/>
        <v>High Value</v>
      </c>
    </row>
    <row r="165" spans="1:13" x14ac:dyDescent="0.3">
      <c r="A165" s="10">
        <v>1164</v>
      </c>
      <c r="B165" s="7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2">
        <v>1200</v>
      </c>
      <c r="I165">
        <f t="shared" si="25"/>
        <v>12000</v>
      </c>
      <c r="J165">
        <f t="shared" si="26"/>
        <v>2400</v>
      </c>
      <c r="K165" t="str">
        <f t="shared" si="27"/>
        <v>Jun</v>
      </c>
      <c r="L165" t="str">
        <f t="shared" si="28"/>
        <v>Q2</v>
      </c>
      <c r="M165" t="str">
        <f t="shared" si="29"/>
        <v>High Value</v>
      </c>
    </row>
    <row r="166" spans="1:13" x14ac:dyDescent="0.3">
      <c r="A166" s="11">
        <v>1165</v>
      </c>
      <c r="B166" s="8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3">
        <v>7500</v>
      </c>
      <c r="I166">
        <f t="shared" si="25"/>
        <v>60000</v>
      </c>
      <c r="J166">
        <f t="shared" si="26"/>
        <v>12000</v>
      </c>
      <c r="K166" t="str">
        <f t="shared" si="27"/>
        <v>Dec</v>
      </c>
      <c r="L166" t="str">
        <f t="shared" si="28"/>
        <v>Q4</v>
      </c>
      <c r="M166" t="str">
        <f t="shared" si="29"/>
        <v>High Value</v>
      </c>
    </row>
    <row r="167" spans="1:13" x14ac:dyDescent="0.3">
      <c r="A167" s="10">
        <v>1166</v>
      </c>
      <c r="B167" s="7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2">
        <v>850</v>
      </c>
      <c r="I167">
        <f t="shared" si="25"/>
        <v>10200</v>
      </c>
      <c r="J167">
        <f t="shared" si="26"/>
        <v>2040</v>
      </c>
      <c r="K167" t="str">
        <f t="shared" si="27"/>
        <v>Aug</v>
      </c>
      <c r="L167" t="str">
        <f t="shared" si="28"/>
        <v>Q3</v>
      </c>
      <c r="M167" t="str">
        <f t="shared" si="29"/>
        <v>High Value</v>
      </c>
    </row>
    <row r="168" spans="1:13" x14ac:dyDescent="0.3">
      <c r="A168" s="11">
        <v>1167</v>
      </c>
      <c r="B168" s="8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3">
        <v>1100</v>
      </c>
      <c r="I168">
        <f t="shared" si="25"/>
        <v>8800</v>
      </c>
      <c r="J168">
        <f t="shared" si="26"/>
        <v>1760</v>
      </c>
      <c r="K168" t="str">
        <f t="shared" si="27"/>
        <v>Jan</v>
      </c>
      <c r="L168" t="str">
        <f t="shared" si="28"/>
        <v>Q1</v>
      </c>
      <c r="M168" t="str">
        <f t="shared" si="29"/>
        <v>Normal</v>
      </c>
    </row>
    <row r="169" spans="1:13" x14ac:dyDescent="0.3">
      <c r="A169" s="10">
        <v>1168</v>
      </c>
      <c r="B169" s="7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2">
        <v>1200</v>
      </c>
      <c r="I169">
        <f t="shared" si="25"/>
        <v>12000</v>
      </c>
      <c r="J169">
        <f t="shared" si="26"/>
        <v>2400</v>
      </c>
      <c r="K169" t="str">
        <f t="shared" si="27"/>
        <v>May</v>
      </c>
      <c r="L169" t="str">
        <f t="shared" si="28"/>
        <v>Q2</v>
      </c>
      <c r="M169" t="str">
        <f t="shared" si="29"/>
        <v>High Value</v>
      </c>
    </row>
    <row r="170" spans="1:13" x14ac:dyDescent="0.3">
      <c r="A170" s="11">
        <v>1169</v>
      </c>
      <c r="B170" s="8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3">
        <v>2500</v>
      </c>
      <c r="I170">
        <f t="shared" si="25"/>
        <v>5000</v>
      </c>
      <c r="J170">
        <f t="shared" si="26"/>
        <v>1000</v>
      </c>
      <c r="K170" t="str">
        <f t="shared" si="27"/>
        <v>Jul</v>
      </c>
      <c r="L170" t="str">
        <f t="shared" si="28"/>
        <v>Q3</v>
      </c>
      <c r="M170" t="str">
        <f t="shared" si="29"/>
        <v>Normal</v>
      </c>
    </row>
    <row r="171" spans="1:13" x14ac:dyDescent="0.3">
      <c r="A171" s="10">
        <v>1170</v>
      </c>
      <c r="B171" s="7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2">
        <v>8500</v>
      </c>
      <c r="I171">
        <f t="shared" si="25"/>
        <v>110500</v>
      </c>
      <c r="J171">
        <f t="shared" si="26"/>
        <v>22100</v>
      </c>
      <c r="K171" t="str">
        <f t="shared" si="27"/>
        <v>Oct</v>
      </c>
      <c r="L171" t="str">
        <f t="shared" si="28"/>
        <v>Q4</v>
      </c>
      <c r="M171" t="str">
        <f t="shared" si="29"/>
        <v>High Value</v>
      </c>
    </row>
    <row r="172" spans="1:13" x14ac:dyDescent="0.3">
      <c r="A172" s="11">
        <v>1171</v>
      </c>
      <c r="B172" s="8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3">
        <v>650</v>
      </c>
      <c r="I172">
        <f t="shared" si="25"/>
        <v>4550</v>
      </c>
      <c r="J172">
        <f t="shared" si="26"/>
        <v>910</v>
      </c>
      <c r="K172" t="str">
        <f t="shared" si="27"/>
        <v>Jan</v>
      </c>
      <c r="L172" t="str">
        <f t="shared" si="28"/>
        <v>Q1</v>
      </c>
      <c r="M172" t="str">
        <f t="shared" si="29"/>
        <v>Normal</v>
      </c>
    </row>
    <row r="173" spans="1:13" x14ac:dyDescent="0.3">
      <c r="A173" s="10">
        <v>1172</v>
      </c>
      <c r="B173" s="7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2">
        <v>3200</v>
      </c>
      <c r="I173">
        <f t="shared" si="25"/>
        <v>28800</v>
      </c>
      <c r="J173">
        <f t="shared" si="26"/>
        <v>5760</v>
      </c>
      <c r="K173" t="str">
        <f t="shared" si="27"/>
        <v>May</v>
      </c>
      <c r="L173" t="str">
        <f t="shared" si="28"/>
        <v>Q2</v>
      </c>
      <c r="M173" t="str">
        <f t="shared" si="29"/>
        <v>High Value</v>
      </c>
    </row>
    <row r="174" spans="1:13" x14ac:dyDescent="0.3">
      <c r="A174" s="11">
        <v>1173</v>
      </c>
      <c r="B174" s="8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3">
        <v>2200</v>
      </c>
      <c r="I174">
        <f t="shared" si="25"/>
        <v>33000</v>
      </c>
      <c r="J174">
        <f t="shared" si="26"/>
        <v>6600</v>
      </c>
      <c r="K174" t="str">
        <f t="shared" si="27"/>
        <v>May</v>
      </c>
      <c r="L174" t="str">
        <f t="shared" si="28"/>
        <v>Q2</v>
      </c>
      <c r="M174" t="str">
        <f t="shared" si="29"/>
        <v>High Value</v>
      </c>
    </row>
    <row r="175" spans="1:13" x14ac:dyDescent="0.3">
      <c r="A175" s="10">
        <v>1174</v>
      </c>
      <c r="B175" s="7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2">
        <v>1200</v>
      </c>
      <c r="I175">
        <f t="shared" si="25"/>
        <v>18000</v>
      </c>
      <c r="J175">
        <f t="shared" si="26"/>
        <v>3600</v>
      </c>
      <c r="K175" t="str">
        <f t="shared" si="27"/>
        <v>Apr</v>
      </c>
      <c r="L175" t="str">
        <f t="shared" si="28"/>
        <v>Q2</v>
      </c>
      <c r="M175" t="str">
        <f t="shared" si="29"/>
        <v>High Value</v>
      </c>
    </row>
    <row r="176" spans="1:13" x14ac:dyDescent="0.3">
      <c r="A176" s="11">
        <v>1175</v>
      </c>
      <c r="B176" s="8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3">
        <v>3200</v>
      </c>
      <c r="I176">
        <f t="shared" si="25"/>
        <v>19200</v>
      </c>
      <c r="J176">
        <f t="shared" si="26"/>
        <v>3840</v>
      </c>
      <c r="K176" t="str">
        <f t="shared" si="27"/>
        <v>Sep</v>
      </c>
      <c r="L176" t="str">
        <f t="shared" si="28"/>
        <v>Q3</v>
      </c>
      <c r="M176" t="str">
        <f t="shared" si="29"/>
        <v>High Value</v>
      </c>
    </row>
    <row r="177" spans="1:13" x14ac:dyDescent="0.3">
      <c r="A177" s="10">
        <v>1176</v>
      </c>
      <c r="B177" s="7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2">
        <v>2200</v>
      </c>
      <c r="I177">
        <f t="shared" si="25"/>
        <v>6600</v>
      </c>
      <c r="J177">
        <f t="shared" si="26"/>
        <v>1320</v>
      </c>
      <c r="K177" t="str">
        <f t="shared" si="27"/>
        <v>Jul</v>
      </c>
      <c r="L177" t="str">
        <f t="shared" si="28"/>
        <v>Q3</v>
      </c>
      <c r="M177" t="str">
        <f t="shared" si="29"/>
        <v>Normal</v>
      </c>
    </row>
    <row r="178" spans="1:13" x14ac:dyDescent="0.3">
      <c r="A178" s="11">
        <v>1177</v>
      </c>
      <c r="B178" s="8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3">
        <v>1200</v>
      </c>
      <c r="I178">
        <f t="shared" si="25"/>
        <v>18000</v>
      </c>
      <c r="J178">
        <f t="shared" si="26"/>
        <v>3600</v>
      </c>
      <c r="K178" t="str">
        <f t="shared" si="27"/>
        <v>Jul</v>
      </c>
      <c r="L178" t="str">
        <f t="shared" si="28"/>
        <v>Q3</v>
      </c>
      <c r="M178" t="str">
        <f t="shared" si="29"/>
        <v>High Value</v>
      </c>
    </row>
    <row r="179" spans="1:13" x14ac:dyDescent="0.3">
      <c r="A179" s="10">
        <v>1178</v>
      </c>
      <c r="B179" s="7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2">
        <v>850</v>
      </c>
      <c r="I179">
        <f t="shared" si="25"/>
        <v>6800</v>
      </c>
      <c r="J179">
        <f t="shared" si="26"/>
        <v>1360</v>
      </c>
      <c r="K179" t="str">
        <f t="shared" si="27"/>
        <v>Jan</v>
      </c>
      <c r="L179" t="str">
        <f t="shared" si="28"/>
        <v>Q1</v>
      </c>
      <c r="M179" t="str">
        <f t="shared" si="29"/>
        <v>Normal</v>
      </c>
    </row>
    <row r="180" spans="1:13" x14ac:dyDescent="0.3">
      <c r="A180" s="11">
        <v>1179</v>
      </c>
      <c r="B180" s="8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3">
        <v>650</v>
      </c>
      <c r="I180">
        <f t="shared" si="25"/>
        <v>9100</v>
      </c>
      <c r="J180">
        <f t="shared" si="26"/>
        <v>1820</v>
      </c>
      <c r="K180" t="str">
        <f t="shared" si="27"/>
        <v>Oct</v>
      </c>
      <c r="L180" t="str">
        <f t="shared" si="28"/>
        <v>Q4</v>
      </c>
      <c r="M180" t="str">
        <f t="shared" si="29"/>
        <v>Normal</v>
      </c>
    </row>
    <row r="181" spans="1:13" x14ac:dyDescent="0.3">
      <c r="A181" s="18">
        <v>1180</v>
      </c>
      <c r="B181" s="19">
        <v>45478</v>
      </c>
      <c r="C181" s="20" t="s">
        <v>12</v>
      </c>
      <c r="D181" s="20" t="s">
        <v>13</v>
      </c>
      <c r="E181" s="20" t="s">
        <v>15</v>
      </c>
      <c r="F181" s="21" t="s">
        <v>34</v>
      </c>
      <c r="G181" s="22">
        <v>15</v>
      </c>
      <c r="H181" s="23">
        <v>1500</v>
      </c>
      <c r="I181">
        <f t="shared" si="25"/>
        <v>22500</v>
      </c>
      <c r="J181">
        <f t="shared" si="26"/>
        <v>4500</v>
      </c>
      <c r="K181" t="str">
        <f t="shared" si="27"/>
        <v>Jul</v>
      </c>
      <c r="L181" t="str">
        <f t="shared" si="28"/>
        <v>Q3</v>
      </c>
      <c r="M181" t="str">
        <f t="shared" si="29"/>
        <v>High Value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3701-E492-4CDE-99A7-70A1339607B1}">
  <dimension ref="A1:B15"/>
  <sheetViews>
    <sheetView tabSelected="1" workbookViewId="0">
      <selection activeCell="D14" sqref="D14"/>
    </sheetView>
  </sheetViews>
  <sheetFormatPr defaultRowHeight="14.4" x14ac:dyDescent="0.3"/>
  <cols>
    <col min="1" max="1" width="20.77734375" bestFit="1" customWidth="1"/>
    <col min="2" max="2" width="14.109375" bestFit="1" customWidth="1"/>
  </cols>
  <sheetData>
    <row r="1" spans="1:2" x14ac:dyDescent="0.3">
      <c r="A1" s="32" t="s">
        <v>3</v>
      </c>
      <c r="B1" s="32" t="s">
        <v>41</v>
      </c>
    </row>
    <row r="2" spans="1:2" x14ac:dyDescent="0.3">
      <c r="A2" s="30" t="s">
        <v>9</v>
      </c>
      <c r="B2" s="31">
        <v>1347350</v>
      </c>
    </row>
    <row r="3" spans="1:2" x14ac:dyDescent="0.3">
      <c r="A3" s="30" t="s">
        <v>26</v>
      </c>
      <c r="B3" s="31">
        <v>756050</v>
      </c>
    </row>
    <row r="4" spans="1:2" x14ac:dyDescent="0.3">
      <c r="A4" s="30" t="s">
        <v>29</v>
      </c>
      <c r="B4" s="31">
        <v>767750</v>
      </c>
    </row>
    <row r="5" spans="1:2" x14ac:dyDescent="0.3">
      <c r="A5" s="30" t="s">
        <v>13</v>
      </c>
      <c r="B5" s="31">
        <v>1455800</v>
      </c>
    </row>
    <row r="8" spans="1:2" x14ac:dyDescent="0.3">
      <c r="A8" s="32" t="s">
        <v>4</v>
      </c>
      <c r="B8" s="32" t="s">
        <v>42</v>
      </c>
    </row>
    <row r="9" spans="1:2" x14ac:dyDescent="0.3">
      <c r="A9" s="30" t="s">
        <v>20</v>
      </c>
      <c r="B9" s="30">
        <v>48</v>
      </c>
    </row>
    <row r="10" spans="1:2" x14ac:dyDescent="0.3">
      <c r="A10" s="30" t="s">
        <v>10</v>
      </c>
      <c r="B10" s="30">
        <v>69</v>
      </c>
    </row>
    <row r="11" spans="1:2" x14ac:dyDescent="0.3">
      <c r="A11" s="30" t="s">
        <v>15</v>
      </c>
      <c r="B11" s="30">
        <v>63</v>
      </c>
    </row>
    <row r="14" spans="1:2" x14ac:dyDescent="0.3">
      <c r="A14" s="33" t="s">
        <v>43</v>
      </c>
    </row>
    <row r="15" spans="1:2" x14ac:dyDescent="0.3">
      <c r="A15" s="30" t="s">
        <v>27</v>
      </c>
      <c r="B15" s="30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Joshuva Gipson</cp:lastModifiedBy>
  <dcterms:created xsi:type="dcterms:W3CDTF">2026-06-16T03:32:26Z</dcterms:created>
  <dcterms:modified xsi:type="dcterms:W3CDTF">2026-07-25T15:36:19Z</dcterms:modified>
</cp:coreProperties>
</file>